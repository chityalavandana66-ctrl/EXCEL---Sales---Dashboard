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3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4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232202310a74e71/Documents/"/>
    </mc:Choice>
  </mc:AlternateContent>
  <xr:revisionPtr revIDLastSave="1" documentId="13_ncr:1_{46F2F529-E1AA-405E-9499-D450B7D5ED88}" xr6:coauthVersionLast="47" xr6:coauthVersionMax="47" xr10:uidLastSave="{0B05CFA3-E257-4348-AA20-45A807D1C64E}"/>
  <bookViews>
    <workbookView xWindow="-108" yWindow="-108" windowWidth="23256" windowHeight="12456" tabRatio="603" activeTab="1" xr2:uid="{00000000-000D-0000-FFFF-FFFF00000000}"/>
  </bookViews>
  <sheets>
    <sheet name="PIVOT TABLES" sheetId="3" r:id="rId1"/>
    <sheet name="SHEET 1" sheetId="9" r:id="rId2"/>
    <sheet name="Class" sheetId="2" r:id="rId3"/>
    <sheet name="Sheet6" sheetId="8" state="hidden" r:id="rId4"/>
  </sheets>
  <definedNames>
    <definedName name="_xlcn.WorksheetConnection_ClassA3I931" hidden="1">Class!$A$3:$I$93</definedName>
  </definedNames>
  <calcPr calcId="191029"/>
  <pivotCaches>
    <pivotCache cacheId="46" r:id="rId5"/>
    <pivotCache cacheId="47" r:id="rId6"/>
    <pivotCache cacheId="48" r:id="rId7"/>
    <pivotCache cacheId="49" r:id="rId8"/>
    <pivotCache cacheId="50" r:id="rId9"/>
    <pivotCache cacheId="51" r:id="rId10"/>
    <pivotCache cacheId="52" r:id="rId11"/>
    <pivotCache cacheId="53" r:id="rId12"/>
    <pivotCache cacheId="54" r:id="rId13"/>
    <pivotCache cacheId="55" r:id="rId14"/>
    <pivotCache cacheId="56" r:id="rId15"/>
    <pivotCache cacheId="57" r:id="rId16"/>
    <pivotCache cacheId="58" r:id="rId17"/>
    <pivotCache cacheId="59" r:id="rId18"/>
    <pivotCache cacheId="60" r:id="rId19"/>
    <pivotCache cacheId="61" r:id="rId20"/>
    <pivotCache cacheId="62" r:id="rId21"/>
    <pivotCache cacheId="63" r:id="rId2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Class!$A$3:$I$93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3" i="2" l="1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P8" i="9"/>
  <c r="K8" i="9"/>
  <c r="F8" i="9"/>
  <c r="A8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1037AF-B219-4EB9-B9A2-5127807E4C7C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660D6D8-A714-48E1-98EE-5C33E4E89162}" name="WorksheetConnection_Class!$A$3:$I$93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lassA3I931"/>
        </x15:connection>
      </ext>
    </extLst>
  </connection>
</connections>
</file>

<file path=xl/sharedStrings.xml><?xml version="1.0" encoding="utf-8"?>
<sst xmlns="http://schemas.openxmlformats.org/spreadsheetml/2006/main" count="422" uniqueCount="64">
  <si>
    <t>Dashboard</t>
  </si>
  <si>
    <r>
      <rPr>
        <b/>
        <sz val="20"/>
        <color rgb="FFFFC000"/>
        <rFont val="Arial Black"/>
        <family val="2"/>
      </rPr>
      <t>Trainer:</t>
    </r>
    <r>
      <rPr>
        <b/>
        <sz val="28"/>
        <color rgb="FFFFC000"/>
        <rFont val="Arial Black"/>
        <family val="2"/>
      </rPr>
      <t xml:space="preserve"> </t>
    </r>
    <r>
      <rPr>
        <b/>
        <sz val="28"/>
        <color theme="0"/>
        <rFont val="Arial Black"/>
        <family val="2"/>
      </rPr>
      <t xml:space="preserve">
Narendra</t>
    </r>
  </si>
  <si>
    <t>Date</t>
  </si>
  <si>
    <t>Region</t>
  </si>
  <si>
    <t>Salesperson</t>
  </si>
  <si>
    <t>Product</t>
  </si>
  <si>
    <t>Quantity Sold</t>
  </si>
  <si>
    <t>Sales Amount</t>
  </si>
  <si>
    <t>Discount (%)</t>
  </si>
  <si>
    <t>Profit Margin (%)</t>
  </si>
  <si>
    <t>Total Sales Amount</t>
  </si>
  <si>
    <t>East</t>
  </si>
  <si>
    <t>Arun Kumar</t>
  </si>
  <si>
    <t>Product X</t>
  </si>
  <si>
    <t>West</t>
  </si>
  <si>
    <t>Priya Sharma</t>
  </si>
  <si>
    <t>Product Y</t>
  </si>
  <si>
    <t>North</t>
  </si>
  <si>
    <t>Rajesh Patel</t>
  </si>
  <si>
    <t>South</t>
  </si>
  <si>
    <t>Meera Reddy</t>
  </si>
  <si>
    <t>Product Z</t>
  </si>
  <si>
    <t>Grand Total</t>
  </si>
  <si>
    <t>Jan</t>
  </si>
  <si>
    <t>Feb</t>
  </si>
  <si>
    <t>Mar</t>
  </si>
  <si>
    <t>Row Labels</t>
  </si>
  <si>
    <t>Sum of Sales Amount</t>
  </si>
  <si>
    <t>Count of Product</t>
  </si>
  <si>
    <t>Sum of Discount (%)</t>
  </si>
  <si>
    <t>Max of Discount (%)</t>
  </si>
  <si>
    <t>Sum of Profit Margin (%)</t>
  </si>
  <si>
    <t>5)SUM OF PROFIT AS  PER SALES PERSONS</t>
  </si>
  <si>
    <t>4) SUM OF SALES AMOUNT AS PER SALES PERSONS</t>
  </si>
  <si>
    <t xml:space="preserve"> 1) SALES AMOUNT AS PER REGION WISE---</t>
  </si>
  <si>
    <t>2) COUNT OF PRODUCTS AS PER SALES PERSON WISE ---</t>
  </si>
  <si>
    <t>3) MAXIMUM  DISCOUNT AS PER SALES PERSON</t>
  </si>
  <si>
    <t>Average of Discount (%)</t>
  </si>
  <si>
    <t>6 ) AVERAGE DISCOUNT AS PER PRODUCT WISE</t>
  </si>
  <si>
    <t>Date (Month)</t>
  </si>
  <si>
    <t>Max of Total Sales Amount</t>
  </si>
  <si>
    <t>9) SUM OF SALES AMOUNT AS PER  PRODUCT X,Y,Z WISE</t>
  </si>
  <si>
    <t xml:space="preserve"> 8 ) MAXIMUM SALES AMOUNT AS PER SALES PERSONS WISE</t>
  </si>
  <si>
    <t>7) SUM OF SALES AMOUNT AS PER DATE(MONTH) WISE</t>
  </si>
  <si>
    <t>Sum of Quantity Sold</t>
  </si>
  <si>
    <t>10) QUANTITY SOLD AS PER SALES PERSONS WISE</t>
  </si>
  <si>
    <t>11 ) QUANTITY SOLD AS PER REGIONS</t>
  </si>
  <si>
    <t xml:space="preserve"> 12) SALES PERSONS HAS DISCOUNT FOR SUM OF PROFIT MARGIN</t>
  </si>
  <si>
    <t xml:space="preserve">13)  REGION WISE SALES AMOUNT </t>
  </si>
  <si>
    <t>Max of Sales Amount</t>
  </si>
  <si>
    <t>ISE MAXIMUM SALES AMOUNT</t>
  </si>
  <si>
    <t>14) SALES PERSON AS PER DISCOUNT</t>
  </si>
  <si>
    <t>Count of Quantity Sold</t>
  </si>
  <si>
    <t>15)   QIUANTITY SOLD  AS PER PROFIT MARGIN</t>
  </si>
  <si>
    <t xml:space="preserve"> 16) SUM OF QUANTITY SOLD AS PER SALES PERSONS</t>
  </si>
  <si>
    <t>17) PROFIT MARGIN VS  SALES AMOUNT</t>
  </si>
  <si>
    <t>PREPARED BY C VANDANA</t>
  </si>
  <si>
    <t>TOTAL SALES AMOUNT</t>
  </si>
  <si>
    <t>PROFT MARGIN(%)</t>
  </si>
  <si>
    <t>MAXIMUM DISCOUNT</t>
  </si>
  <si>
    <t>AVERAGE SALES</t>
  </si>
  <si>
    <t>Sum of Total Sales Amount</t>
  </si>
  <si>
    <t>Average of Sales Amount</t>
  </si>
  <si>
    <r>
      <t xml:space="preserve"> </t>
    </r>
    <r>
      <rPr>
        <b/>
        <sz val="36"/>
        <color theme="1"/>
        <rFont val="Calibri"/>
        <family val="2"/>
        <scheme val="minor"/>
      </rPr>
      <t>TOTAL SALES  ANALYSIS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</si>
</sst>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4"/>
      <color rgb="FFFFFF00"/>
      <name val="Arial Black"/>
      <family val="2"/>
    </font>
    <font>
      <b/>
      <sz val="28"/>
      <color theme="0"/>
      <name val="Arial Black"/>
      <family val="2"/>
    </font>
    <font>
      <b/>
      <sz val="20"/>
      <color rgb="FFFFC000"/>
      <name val="Arial Black"/>
      <family val="2"/>
    </font>
    <font>
      <b/>
      <sz val="28"/>
      <color rgb="FFFFC000"/>
      <name val="Arial Black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/>
    <xf numFmtId="0" fontId="9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11" fillId="13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7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0" Type="http://schemas.openxmlformats.org/officeDocument/2006/relationships/pivotCacheDefinition" Target="pivotCache/pivotCacheDefinition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pivotCacheDefinition" Target="pivotCache/pivotCacheDefinition6.xml"/><Relationship Id="rId19" Type="http://schemas.openxmlformats.org/officeDocument/2006/relationships/pivotCacheDefinition" Target="pivotCache/pivotCacheDefinition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pivotCacheDefinition" Target="pivotCache/pivotCacheDefinition18.xml"/><Relationship Id="rId27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van (1) (1).xlsx]PIVOT TABLES!PivotTable1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SALES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5B9BD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71400</c:v>
                </c:pt>
                <c:pt idx="1">
                  <c:v>73200</c:v>
                </c:pt>
                <c:pt idx="2">
                  <c:v>84000</c:v>
                </c:pt>
                <c:pt idx="3">
                  <c:v>73600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3-4E71-81D7-F7EE400949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90441967"/>
        <c:axId val="90437807"/>
        <c:axId val="0"/>
      </c:bar3DChart>
      <c:catAx>
        <c:axId val="9044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7807"/>
        <c:crosses val="autoZero"/>
        <c:auto val="1"/>
        <c:lblAlgn val="ctr"/>
        <c:lblOffset val="100"/>
        <c:noMultiLvlLbl val="0"/>
      </c:catAx>
      <c:valAx>
        <c:axId val="9043780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044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van (1) (1).xlsx]PIVOT TABLES!PivotTable2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TABLES'!$A$13:$A$17</c:f>
              <c:strCache>
                <c:ptCount val="4"/>
                <c:pt idx="0">
                  <c:v>Arun Kumar</c:v>
                </c:pt>
                <c:pt idx="1">
                  <c:v>Meera Reddy</c:v>
                </c:pt>
                <c:pt idx="2">
                  <c:v>Priya Sharma</c:v>
                </c:pt>
                <c:pt idx="3">
                  <c:v>Rajesh Patel</c:v>
                </c:pt>
              </c:strCache>
            </c:strRef>
          </c:cat>
          <c:val>
            <c:numRef>
              <c:f>'PIVOT TABLES'!$B$13:$B$17</c:f>
              <c:numCache>
                <c:formatCode>General</c:formatCode>
                <c:ptCount val="4"/>
                <c:pt idx="0">
                  <c:v>23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B-48BB-9E55-2238B6082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987599"/>
        <c:axId val="2053989263"/>
      </c:lineChart>
      <c:catAx>
        <c:axId val="20539875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989263"/>
        <c:crosses val="autoZero"/>
        <c:auto val="1"/>
        <c:lblAlgn val="ctr"/>
        <c:lblOffset val="100"/>
        <c:noMultiLvlLbl val="0"/>
      </c:catAx>
      <c:valAx>
        <c:axId val="20539892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98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van (1) (1).xlsx]PIVOT TABLES!PivotTable3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MAXIMUM</a:t>
            </a:r>
            <a:r>
              <a:rPr lang="en-US" baseline="0"/>
              <a:t> DISCOUNT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27E-4C29-B127-A973B84382D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27E-4C29-B127-A973B84382D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27E-4C29-B127-A973B84382D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27E-4C29-B127-A973B84382D7}"/>
              </c:ext>
            </c:extLst>
          </c:dPt>
          <c:cat>
            <c:strRef>
              <c:f>'PIVOT TABLES'!$A$22:$A$26</c:f>
              <c:strCache>
                <c:ptCount val="4"/>
                <c:pt idx="0">
                  <c:v>Arun Kumar</c:v>
                </c:pt>
                <c:pt idx="1">
                  <c:v>Meera Reddy</c:v>
                </c:pt>
                <c:pt idx="2">
                  <c:v>Priya Sharma</c:v>
                </c:pt>
                <c:pt idx="3">
                  <c:v>Rajesh Patel</c:v>
                </c:pt>
              </c:strCache>
            </c:strRef>
          </c:cat>
          <c:val>
            <c:numRef>
              <c:f>'PIVOT TABLES'!$B$22:$B$26</c:f>
              <c:numCache>
                <c:formatCode>General</c:formatCode>
                <c:ptCount val="4"/>
                <c:pt idx="0">
                  <c:v>18</c:v>
                </c:pt>
                <c:pt idx="1">
                  <c:v>20</c:v>
                </c:pt>
                <c:pt idx="2">
                  <c:v>16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7E-4C29-B127-A973B8438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van (1) (1).xlsx]PIVOT 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SALES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TABLES'!$F$3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TABLES'!$E$4:$E$8</c:f>
              <c:strCache>
                <c:ptCount val="4"/>
                <c:pt idx="0">
                  <c:v>Arun Kumar</c:v>
                </c:pt>
                <c:pt idx="1">
                  <c:v>Meera Reddy</c:v>
                </c:pt>
                <c:pt idx="2">
                  <c:v>Priya Sharma</c:v>
                </c:pt>
                <c:pt idx="3">
                  <c:v>Rajesh Patel</c:v>
                </c:pt>
              </c:strCache>
            </c:strRef>
          </c:cat>
          <c:val>
            <c:numRef>
              <c:f>'PIVOT TABLES'!$F$4:$F$8</c:f>
              <c:numCache>
                <c:formatCode>General</c:formatCode>
                <c:ptCount val="4"/>
                <c:pt idx="0">
                  <c:v>71400</c:v>
                </c:pt>
                <c:pt idx="1">
                  <c:v>84000</c:v>
                </c:pt>
                <c:pt idx="2">
                  <c:v>73600</c:v>
                </c:pt>
                <c:pt idx="3">
                  <c:v>73200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6-43EB-8C64-D56DD9CF1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0144047"/>
        <c:axId val="130148623"/>
      </c:barChart>
      <c:catAx>
        <c:axId val="130144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48623"/>
        <c:crosses val="autoZero"/>
        <c:auto val="1"/>
        <c:lblAlgn val="ctr"/>
        <c:lblOffset val="100"/>
        <c:noMultiLvlLbl val="0"/>
      </c:catAx>
      <c:valAx>
        <c:axId val="13014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4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van (1) (1).xlsx]PIVOT TABLES!PivotTable6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DISCOUNT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TABLES'!$F$21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09E-4BA8-B11E-658EA135927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09E-4BA8-B11E-658EA135927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09E-4BA8-B11E-658EA1359278}"/>
              </c:ext>
            </c:extLst>
          </c:dPt>
          <c:cat>
            <c:strRef>
              <c:f>'PIVOT TABLES'!$E$22:$E$25</c:f>
              <c:strCache>
                <c:ptCount val="3"/>
                <c:pt idx="0">
                  <c:v>Product X</c:v>
                </c:pt>
                <c:pt idx="1">
                  <c:v>Product Y</c:v>
                </c:pt>
                <c:pt idx="2">
                  <c:v>Product Z</c:v>
                </c:pt>
              </c:strCache>
            </c:strRef>
          </c:cat>
          <c:val>
            <c:numRef>
              <c:f>'PIVOT TABLES'!$F$22:$F$25</c:f>
              <c:numCache>
                <c:formatCode>General</c:formatCode>
                <c:ptCount val="3"/>
                <c:pt idx="0">
                  <c:v>10.206896551724139</c:v>
                </c:pt>
                <c:pt idx="1">
                  <c:v>12.32258064516129</c:v>
                </c:pt>
                <c:pt idx="2">
                  <c:v>13.566666666666666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9E-4BA8-B11E-658EA1359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van (1) (1).xlsx]PIVOT TABLES!PivotTable8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MAXIMUM</a:t>
            </a:r>
            <a:r>
              <a:rPr lang="en-US" baseline="0"/>
              <a:t> TOTAL SALES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TABLES'!$J$12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TABLES'!$I$13:$I$17</c:f>
              <c:strCache>
                <c:ptCount val="4"/>
                <c:pt idx="0">
                  <c:v>Arun Kumar</c:v>
                </c:pt>
                <c:pt idx="1">
                  <c:v>Meera Reddy</c:v>
                </c:pt>
                <c:pt idx="2">
                  <c:v>Priya Sharma</c:v>
                </c:pt>
                <c:pt idx="3">
                  <c:v>Rajesh Patel</c:v>
                </c:pt>
              </c:strCache>
            </c:strRef>
          </c:cat>
          <c:val>
            <c:numRef>
              <c:f>'PIVOT TABLES'!$J$13:$J$17</c:f>
              <c:numCache>
                <c:formatCode>General</c:formatCode>
                <c:ptCount val="4"/>
                <c:pt idx="0">
                  <c:v>882000</c:v>
                </c:pt>
                <c:pt idx="1">
                  <c:v>1250000</c:v>
                </c:pt>
                <c:pt idx="2">
                  <c:v>800000</c:v>
                </c:pt>
                <c:pt idx="3">
                  <c:v>968000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6-4007-99A5-397301571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492639"/>
        <c:axId val="1461306479"/>
      </c:areaChart>
      <c:catAx>
        <c:axId val="2053492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06479"/>
        <c:crosses val="autoZero"/>
        <c:auto val="1"/>
        <c:lblAlgn val="ctr"/>
        <c:lblOffset val="100"/>
        <c:noMultiLvlLbl val="0"/>
      </c:catAx>
      <c:valAx>
        <c:axId val="146130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492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DISCOUNT AND SUM OF QUANTITY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0-4D41-B515-7D479ACFD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571615"/>
        <c:axId val="2051572031"/>
      </c:barChart>
      <c:lineChart>
        <c:grouping val="standard"/>
        <c:varyColors val="0"/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00-4D41-B515-7D479ACFD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573279"/>
        <c:axId val="2051572863"/>
      </c:lineChart>
      <c:catAx>
        <c:axId val="205157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572031"/>
        <c:crosses val="autoZero"/>
        <c:auto val="1"/>
        <c:lblAlgn val="ctr"/>
        <c:lblOffset val="100"/>
        <c:noMultiLvlLbl val="0"/>
      </c:catAx>
      <c:valAx>
        <c:axId val="205157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571615"/>
        <c:crosses val="autoZero"/>
        <c:crossBetween val="between"/>
      </c:valAx>
      <c:valAx>
        <c:axId val="205157286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573279"/>
        <c:crosses val="max"/>
        <c:crossBetween val="between"/>
      </c:valAx>
      <c:catAx>
        <c:axId val="20515732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15728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van (1) (1).xlsx]PIVOT TABLES!PivotTable1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</a:t>
            </a:r>
            <a:r>
              <a:rPr lang="en-US" baseline="0"/>
              <a:t> SALES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71400</c:v>
                </c:pt>
                <c:pt idx="1">
                  <c:v>73200</c:v>
                </c:pt>
                <c:pt idx="2">
                  <c:v>84000</c:v>
                </c:pt>
                <c:pt idx="3">
                  <c:v>73600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8-4DFA-96C2-AF6839B5E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2395711"/>
        <c:axId val="142396543"/>
      </c:barChart>
      <c:catAx>
        <c:axId val="14239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96543"/>
        <c:crosses val="autoZero"/>
        <c:auto val="1"/>
        <c:lblAlgn val="ctr"/>
        <c:lblOffset val="100"/>
        <c:noMultiLvlLbl val="0"/>
      </c:catAx>
      <c:valAx>
        <c:axId val="14239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9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van (1) (1).xlsx]PIVOT TABLES!PivotTable2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TABLES'!$A$13:$A$17</c:f>
              <c:strCache>
                <c:ptCount val="4"/>
                <c:pt idx="0">
                  <c:v>Arun Kumar</c:v>
                </c:pt>
                <c:pt idx="1">
                  <c:v>Meera Reddy</c:v>
                </c:pt>
                <c:pt idx="2">
                  <c:v>Priya Sharma</c:v>
                </c:pt>
                <c:pt idx="3">
                  <c:v>Rajesh Patel</c:v>
                </c:pt>
              </c:strCache>
            </c:strRef>
          </c:cat>
          <c:val>
            <c:numRef>
              <c:f>'PIVOT TABLES'!$B$13:$B$17</c:f>
              <c:numCache>
                <c:formatCode>General</c:formatCode>
                <c:ptCount val="4"/>
                <c:pt idx="0">
                  <c:v>23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2E-4C5C-8849-D7C763FDE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327439"/>
        <c:axId val="2050326607"/>
      </c:lineChart>
      <c:catAx>
        <c:axId val="205032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326607"/>
        <c:crosses val="autoZero"/>
        <c:auto val="1"/>
        <c:lblAlgn val="ctr"/>
        <c:lblOffset val="100"/>
        <c:noMultiLvlLbl val="0"/>
      </c:catAx>
      <c:valAx>
        <c:axId val="205032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32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van (1) (1).xlsx]PIVOT TABLES!PivotTable3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OF DISCOUNT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62C-4512-8C08-AF8B5D3029E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62C-4512-8C08-AF8B5D3029E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62C-4512-8C08-AF8B5D3029E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62C-4512-8C08-AF8B5D3029EC}"/>
              </c:ext>
            </c:extLst>
          </c:dPt>
          <c:cat>
            <c:strRef>
              <c:f>'PIVOT TABLES'!$A$22:$A$26</c:f>
              <c:strCache>
                <c:ptCount val="4"/>
                <c:pt idx="0">
                  <c:v>Arun Kumar</c:v>
                </c:pt>
                <c:pt idx="1">
                  <c:v>Meera Reddy</c:v>
                </c:pt>
                <c:pt idx="2">
                  <c:v>Priya Sharma</c:v>
                </c:pt>
                <c:pt idx="3">
                  <c:v>Rajesh Patel</c:v>
                </c:pt>
              </c:strCache>
            </c:strRef>
          </c:cat>
          <c:val>
            <c:numRef>
              <c:f>'PIVOT TABLES'!$B$22:$B$26</c:f>
              <c:numCache>
                <c:formatCode>General</c:formatCode>
                <c:ptCount val="4"/>
                <c:pt idx="0">
                  <c:v>18</c:v>
                </c:pt>
                <c:pt idx="1">
                  <c:v>20</c:v>
                </c:pt>
                <c:pt idx="2">
                  <c:v>16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2C-4512-8C08-AF8B5D302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van (1) (1).xlsx]PIVOT TABLES!PivotTable7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SALES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TABLES'!$J$3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TABLES'!$I$4:$I$7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TABLES'!$J$4:$J$7</c:f>
              <c:numCache>
                <c:formatCode>General</c:formatCode>
                <c:ptCount val="3"/>
                <c:pt idx="0">
                  <c:v>99600</c:v>
                </c:pt>
                <c:pt idx="1">
                  <c:v>96400</c:v>
                </c:pt>
                <c:pt idx="2">
                  <c:v>106200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6-43E0-B039-3D047554B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0442383"/>
        <c:axId val="90441135"/>
      </c:barChart>
      <c:catAx>
        <c:axId val="9044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1135"/>
        <c:crosses val="autoZero"/>
        <c:auto val="1"/>
        <c:lblAlgn val="ctr"/>
        <c:lblOffset val="100"/>
        <c:noMultiLvlLbl val="0"/>
      </c:catAx>
      <c:valAx>
        <c:axId val="9044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van (1) (1).xlsx]PIVOT TABLES!PivotTable8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OF TOTAL SALES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TABLES'!$J$12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TABLES'!$I$13:$I$17</c:f>
              <c:strCache>
                <c:ptCount val="4"/>
                <c:pt idx="0">
                  <c:v>Arun Kumar</c:v>
                </c:pt>
                <c:pt idx="1">
                  <c:v>Meera Reddy</c:v>
                </c:pt>
                <c:pt idx="2">
                  <c:v>Priya Sharma</c:v>
                </c:pt>
                <c:pt idx="3">
                  <c:v>Rajesh Patel</c:v>
                </c:pt>
              </c:strCache>
            </c:strRef>
          </c:cat>
          <c:val>
            <c:numRef>
              <c:f>'PIVOT TABLES'!$J$13:$J$17</c:f>
              <c:numCache>
                <c:formatCode>General</c:formatCode>
                <c:ptCount val="4"/>
                <c:pt idx="0">
                  <c:v>882000</c:v>
                </c:pt>
                <c:pt idx="1">
                  <c:v>1250000</c:v>
                </c:pt>
                <c:pt idx="2">
                  <c:v>800000</c:v>
                </c:pt>
                <c:pt idx="3">
                  <c:v>968000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5-4B41-ADE1-CE2CBF541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921759"/>
        <c:axId val="288920927"/>
      </c:areaChart>
      <c:catAx>
        <c:axId val="2889217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920927"/>
        <c:crosses val="autoZero"/>
        <c:auto val="1"/>
        <c:lblAlgn val="ctr"/>
        <c:lblOffset val="100"/>
        <c:noMultiLvlLbl val="0"/>
      </c:catAx>
      <c:valAx>
        <c:axId val="28892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921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van (1) (1).xlsx]PIVOT TABLES!PivotTable10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QUANTITY SOLD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5C-49CF-B822-C4D3B4E0A9E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5C-49CF-B822-C4D3B4E0A9E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5C-49CF-B822-C4D3B4E0A9E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5C-49CF-B822-C4D3B4E0A9E4}"/>
              </c:ext>
            </c:extLst>
          </c:dPt>
          <c:cat>
            <c:strRef>
              <c:f>'PIVOT TABLES'!$A$31:$A$35</c:f>
              <c:strCache>
                <c:ptCount val="4"/>
                <c:pt idx="0">
                  <c:v>Arun Kumar</c:v>
                </c:pt>
                <c:pt idx="1">
                  <c:v>Meera Reddy</c:v>
                </c:pt>
                <c:pt idx="2">
                  <c:v>Priya Sharma</c:v>
                </c:pt>
                <c:pt idx="3">
                  <c:v>Rajesh Patel</c:v>
                </c:pt>
              </c:strCache>
            </c:strRef>
          </c:cat>
          <c:val>
            <c:numRef>
              <c:f>'PIVOT TABLES'!$B$31:$B$35</c:f>
              <c:numCache>
                <c:formatCode>General</c:formatCode>
                <c:ptCount val="4"/>
                <c:pt idx="0">
                  <c:v>3570</c:v>
                </c:pt>
                <c:pt idx="1">
                  <c:v>4200</c:v>
                </c:pt>
                <c:pt idx="2">
                  <c:v>3680</c:v>
                </c:pt>
                <c:pt idx="3">
                  <c:v>3660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5C-49CF-B822-C4D3B4E0A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DISCOUNT AND SUM OF QUANTITY SOLD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A-4EDF-957C-D39CD6F3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871343"/>
        <c:axId val="92868431"/>
      </c:barChart>
      <c:lineChart>
        <c:grouping val="standard"/>
        <c:varyColors val="0"/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9A-4EDF-957C-D39CD6F3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4588127"/>
        <c:axId val="2044587711"/>
      </c:lineChart>
      <c:catAx>
        <c:axId val="9287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68431"/>
        <c:crosses val="autoZero"/>
        <c:auto val="1"/>
        <c:lblAlgn val="ctr"/>
        <c:lblOffset val="100"/>
        <c:noMultiLvlLbl val="0"/>
      </c:catAx>
      <c:valAx>
        <c:axId val="9286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71343"/>
        <c:crosses val="autoZero"/>
        <c:crossBetween val="between"/>
      </c:valAx>
      <c:valAx>
        <c:axId val="20445877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588127"/>
        <c:crosses val="max"/>
        <c:crossBetween val="between"/>
      </c:valAx>
      <c:catAx>
        <c:axId val="20445881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4587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lvl ptCount="0"/>
      </cx:strDim>
      <cx:numDim type="val">
        <cx:lvl ptCount="0"/>
      </cx:numDim>
    </cx:data>
  </cx:chartData>
  <cx:chart>
    <cx:title pos="t" align="ctr" overlay="0">
      <cx:tx>
        <cx:txData>
          <cx:v>SUM OF PROFIT MARGIN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SUM OF PROFIT MARGIN</a:t>
          </a:r>
        </a:p>
      </cx:txPr>
    </cx:title>
    <cx:plotArea>
      <cx:plotAreaRegion>
        <cx:series layoutId="waterfall" uniqueId="{2E724FC8-F4A3-4A10-B563-57FFB1B48779}"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lvl ptCount="0"/>
      </cx:strDim>
      <cx:numDim type="val">
        <cx:lvl ptCount="0"/>
      </cx:numDim>
    </cx:data>
    <cx:data id="1">
      <cx:strDim type="cat">
        <cx:lvl ptCount="0"/>
      </cx:strDim>
      <cx:numDim type="val">
        <cx:lvl ptCount="0"/>
      </cx:numDim>
    </cx:data>
  </cx:chartData>
  <cx:chart>
    <cx:title pos="t" align="ctr" overlay="0">
      <cx:tx>
        <cx:txData>
          <cx:v>SUM OF QUANTITY SOLD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SUM OF QUANTITY SOLD</a:t>
          </a:r>
        </a:p>
      </cx:txPr>
    </cx:title>
    <cx:plotArea>
      <cx:plotAreaRegion>
        <cx:series layoutId="funnel" uniqueId="{5A75F2AC-AE46-4846-A70D-7B4A7DD366F9}" formatIdx="0">
          <cx:dataLabels>
            <cx:visibility seriesName="0" categoryName="0" value="1"/>
          </cx:dataLabels>
          <cx:dataId val="0"/>
        </cx:series>
        <cx:series layoutId="funnel" hidden="1" uniqueId="{F2B75F40-F6B9-4654-8234-DE23B732D967}" formatIdx="1">
          <cx:dataLabels>
            <cx:visibility seriesName="0" categoryName="0" value="1"/>
          </cx:dataLabels>
          <cx:dataId val="1"/>
        </cx:series>
      </cx:plotAreaRegion>
      <cx:axis id="0">
        <cx:catScaling gapWidth="0.5"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lvl ptCount="0"/>
      </cx:strDim>
      <cx:numDim type="val">
        <cx:lvl ptCount="0"/>
      </cx:numDim>
    </cx:data>
  </cx:chartData>
  <cx:chart>
    <cx:title pos="t" align="ctr" overlay="0">
      <cx:tx>
        <cx:txData>
          <cx:v>SUM OF PROFIT MARGIN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SUM OF PROFIT MARGIN</a:t>
          </a:r>
        </a:p>
      </cx:txPr>
    </cx:title>
    <cx:plotArea>
      <cx:plotAreaRegion>
        <cx:series layoutId="waterfall" uniqueId="{79D4FA0E-9F56-479A-B8D6-42874369C81D}"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lvl ptCount="0"/>
      </cx:strDim>
      <cx:numDim type="val">
        <cx:lvl ptCount="0"/>
      </cx:numDim>
    </cx:data>
  </cx:chartData>
  <cx:chart>
    <cx:title pos="t" align="ctr" overlay="0">
      <cx:tx>
        <cx:txData>
          <cx:v>MAXIMUM DISCOUNT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MAXIMUM DISCOUNT</a:t>
          </a:r>
        </a:p>
      </cx:txPr>
    </cx:title>
    <cx:plotArea>
      <cx:plotAreaRegion>
        <cx:series layoutId="funnel" uniqueId="{6926A474-214D-4358-8834-52228E518531}">
          <cx:dataLabels>
            <cx:visibility seriesName="0" categoryName="0" value="1"/>
          </cx:dataLabels>
          <cx:dataId val="0"/>
        </cx:series>
      </cx:plotAreaRegion>
      <cx:axis id="0">
        <cx:catScaling gapWidth="0.5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2.xml"/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2.svg"/><Relationship Id="rId5" Type="http://schemas.openxmlformats.org/officeDocument/2006/relationships/chart" Target="../charts/chart5.xml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4.xml"/><Relationship Id="rId3" Type="http://schemas.openxmlformats.org/officeDocument/2006/relationships/chart" Target="../charts/chart10.xml"/><Relationship Id="rId7" Type="http://schemas.microsoft.com/office/2014/relationships/chartEx" Target="../charts/chartEx3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9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10</xdr:row>
      <xdr:rowOff>68580</xdr:rowOff>
    </xdr:from>
    <xdr:to>
      <xdr:col>10</xdr:col>
      <xdr:colOff>68580</xdr:colOff>
      <xdr:row>26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7DD56A-7E20-4B7C-B14D-8CFF87C65A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19</xdr:col>
      <xdr:colOff>487680</xdr:colOff>
      <xdr:row>26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7002E6-C379-452C-A30B-F8B277696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99060</xdr:colOff>
      <xdr:row>28</xdr:row>
      <xdr:rowOff>0</xdr:rowOff>
    </xdr:from>
    <xdr:to>
      <xdr:col>10</xdr:col>
      <xdr:colOff>60960</xdr:colOff>
      <xdr:row>43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AAC8D1-7B35-4432-95DC-ACC128C0B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28</xdr:row>
      <xdr:rowOff>0</xdr:rowOff>
    </xdr:from>
    <xdr:to>
      <xdr:col>19</xdr:col>
      <xdr:colOff>495300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529306-2709-43E9-B9AD-5755366B2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83820</xdr:colOff>
      <xdr:row>46</xdr:row>
      <xdr:rowOff>0</xdr:rowOff>
    </xdr:from>
    <xdr:to>
      <xdr:col>10</xdr:col>
      <xdr:colOff>182880</xdr:colOff>
      <xdr:row>61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725A6E-526C-4166-B751-2F932603A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46</xdr:row>
      <xdr:rowOff>0</xdr:rowOff>
    </xdr:from>
    <xdr:to>
      <xdr:col>19</xdr:col>
      <xdr:colOff>487680</xdr:colOff>
      <xdr:row>61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33CED6-225B-4717-857D-3AD2F1344C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83820</xdr:colOff>
      <xdr:row>64</xdr:row>
      <xdr:rowOff>0</xdr:rowOff>
    </xdr:from>
    <xdr:to>
      <xdr:col>10</xdr:col>
      <xdr:colOff>289560</xdr:colOff>
      <xdr:row>79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8E8FE445-6093-4123-87D1-87B600FC03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3420" y="11704320"/>
              <a:ext cx="56921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64</xdr:row>
      <xdr:rowOff>0</xdr:rowOff>
    </xdr:from>
    <xdr:to>
      <xdr:col>19</xdr:col>
      <xdr:colOff>464820</xdr:colOff>
      <xdr:row>79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8B7A7F0A-3EBB-4FF7-A88C-5B90F51819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5200" y="11704320"/>
              <a:ext cx="47320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358140</xdr:colOff>
      <xdr:row>81</xdr:row>
      <xdr:rowOff>76200</xdr:rowOff>
    </xdr:from>
    <xdr:to>
      <xdr:col>18</xdr:col>
      <xdr:colOff>594360</xdr:colOff>
      <xdr:row>102</xdr:row>
      <xdr:rowOff>53340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8ABF50F-AF92-487A-83B8-80718C297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563880</xdr:colOff>
      <xdr:row>0</xdr:row>
      <xdr:rowOff>53340</xdr:rowOff>
    </xdr:from>
    <xdr:to>
      <xdr:col>3</xdr:col>
      <xdr:colOff>259080</xdr:colOff>
      <xdr:row>3</xdr:row>
      <xdr:rowOff>160020</xdr:rowOff>
    </xdr:to>
    <xdr:pic>
      <xdr:nvPicPr>
        <xdr:cNvPr id="12" name="Graphic 11" descr="Bar chart with solid fill">
          <a:extLst>
            <a:ext uri="{FF2B5EF4-FFF2-40B4-BE49-F238E27FC236}">
              <a16:creationId xmlns:a16="http://schemas.microsoft.com/office/drawing/2014/main" id="{1212D176-8D11-4189-A589-0F830929D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173480" y="53340"/>
          <a:ext cx="914400" cy="655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0</xdr:rowOff>
    </xdr:from>
    <xdr:to>
      <xdr:col>9</xdr:col>
      <xdr:colOff>304800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07BF0F-027B-4AA0-A0B8-9B89F3C17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11</xdr:row>
      <xdr:rowOff>0</xdr:rowOff>
    </xdr:from>
    <xdr:to>
      <xdr:col>19</xdr:col>
      <xdr:colOff>304800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C1F69D-85BC-44DB-94BD-82BB9DB27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30</xdr:row>
      <xdr:rowOff>0</xdr:rowOff>
    </xdr:from>
    <xdr:to>
      <xdr:col>9</xdr:col>
      <xdr:colOff>304800</xdr:colOff>
      <xdr:row>45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2CA1DA-41BA-426C-80DD-5864663E8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19</xdr:col>
      <xdr:colOff>304800</xdr:colOff>
      <xdr:row>45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7AD1EA-EDA2-40D4-804A-9A621075C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49</xdr:row>
      <xdr:rowOff>0</xdr:rowOff>
    </xdr:from>
    <xdr:to>
      <xdr:col>9</xdr:col>
      <xdr:colOff>304800</xdr:colOff>
      <xdr:row>64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5FBFB1-268E-48E2-9EF6-B4FFA36E5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67</xdr:row>
      <xdr:rowOff>0</xdr:rowOff>
    </xdr:from>
    <xdr:to>
      <xdr:col>9</xdr:col>
      <xdr:colOff>304800</xdr:colOff>
      <xdr:row>82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125DF4-DF06-4EF6-A35E-D6C06FBF5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304800</xdr:colOff>
      <xdr:row>64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96C5AD09-04B2-444F-944F-42B07E8330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5200" y="0"/>
              <a:ext cx="457200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67</xdr:row>
      <xdr:rowOff>0</xdr:rowOff>
    </xdr:from>
    <xdr:to>
      <xdr:col>19</xdr:col>
      <xdr:colOff>304800</xdr:colOff>
      <xdr:row>82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39801D59-8A7C-4E4E-993F-B8894A1FEF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5200" y="0"/>
              <a:ext cx="457200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594360</xdr:colOff>
      <xdr:row>84</xdr:row>
      <xdr:rowOff>121920</xdr:rowOff>
    </xdr:from>
    <xdr:to>
      <xdr:col>17</xdr:col>
      <xdr:colOff>190500</xdr:colOff>
      <xdr:row>99</xdr:row>
      <xdr:rowOff>68580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9F7E037-4293-404D-ABE2-67A611730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2.63663414352" backgroundQuery="1" createdVersion="7" refreshedVersion="7" minRefreshableVersion="3" recordCount="0" supportSubquery="1" supportAdvancedDrill="1" xr:uid="{7AFC4786-6A69-4C86-B442-34B37EDAB1F5}">
  <cacheSource type="external" connectionId="1"/>
  <cacheFields count="5">
    <cacheField name="[Range].[Salesperson].[Salesperson]" caption="Salesperson" numFmtId="0" hierarchy="2" level="1">
      <sharedItems count="4">
        <s v="Arun Kumar"/>
        <s v="Meera Reddy"/>
        <s v="Priya Sharma"/>
        <s v="Rajesh Patel"/>
      </sharedItems>
    </cacheField>
    <cacheField name="[Measures].[Sum of Profit Margin (%)]" caption="Sum of Profit Margin (%)" numFmtId="0" hierarchy="18" level="32767"/>
    <cacheField name="[Measures].[Sum of Total Sales Amount]" caption="Sum of Total Sales Amount" numFmtId="0" hierarchy="20" level="32767"/>
    <cacheField name="[Measures].[Max of Discount (%)]" caption="Max of Discount (%)" numFmtId="0" hierarchy="17" level="32767"/>
    <cacheField name="[Measures].[Average of Sales Amount]" caption="Average of Sales Amount" numFmtId="0" hierarchy="25" level="32767"/>
  </cacheFields>
  <cacheHierarchies count="2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person]" caption="Count of Salespers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Discount (%)]" caption="Max of Discount (%)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argin (%)]" caption="Sum of Profit Margin (%)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Sales Amount]" caption="Sum of Total Sales Am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Total Sales Amount]" caption="Max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es Amount]" caption="Max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 Sold]" caption="Count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Amount]" caption="Average of Sales Amount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2.56905150463" backgroundQuery="1" createdVersion="7" refreshedVersion="7" minRefreshableVersion="3" recordCount="0" supportSubquery="1" supportAdvancedDrill="1" xr:uid="{ACAE74EC-2CDB-4EC5-AB99-97C4FF450F1C}">
  <cacheSource type="external" connectionId="1"/>
  <cacheFields count="2">
    <cacheField name="[Measures].[Sum of Profit Margin (%)]" caption="Sum of Profit Margin (%)" numFmtId="0" hierarchy="18" level="32767"/>
    <cacheField name="[Measures].[Sum of Sales Amount]" caption="Sum of Sales Amount" numFmtId="0" hierarchy="14" level="32767"/>
  </cacheFields>
  <cacheHierarchies count="2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person]" caption="Count of Salespers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Amount]" caption="Sum of Sales 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Discount (%)]" caption="Max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argin (%)]" caption="Sum of Profit Margin (%)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Total Sales Amount]" caption="Max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es Amount]" caption="Max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 Sold]" caption="Count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Amount]" caption="Average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2.515674884256" backgroundQuery="1" createdVersion="7" refreshedVersion="7" minRefreshableVersion="3" recordCount="0" supportSubquery="1" supportAdvancedDrill="1" xr:uid="{3C22C19F-5C20-4F96-8B0C-567953AC9222}">
  <cacheSource type="external" connectionId="1"/>
  <cacheFields count="2">
    <cacheField name="[Range].[Salesperson].[Salesperson]" caption="Salesperson" numFmtId="0" hierarchy="2" level="1">
      <sharedItems count="4">
        <s v="Arun Kumar"/>
        <s v="Meera Reddy"/>
        <s v="Priya Sharma"/>
        <s v="Rajesh Patel"/>
      </sharedItems>
    </cacheField>
    <cacheField name="[Measures].[Sum of Quantity Sold]" caption="Sum of Quantity Sold" numFmtId="0" hierarchy="22" level="32767"/>
  </cacheFields>
  <cacheHierarchies count="2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person]" caption="Count of Salespers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Discount (%)]" caption="Max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Total Sales Amount]" caption="Max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 Sold]" caption="Sum of Quantity Sol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es Amount]" caption="Max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 Sold]" caption="Count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Amount]" caption="Average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2.463874074077" backgroundQuery="1" createdVersion="7" refreshedVersion="7" minRefreshableVersion="3" recordCount="0" supportSubquery="1" supportAdvancedDrill="1" xr:uid="{D22315AC-8174-4D41-93AF-0CC5D94DE3E0}">
  <cacheSource type="external" connectionId="1"/>
  <cacheFields count="2">
    <cacheField name="[Measures].[Sum of Profit Margin (%)]" caption="Sum of Profit Margin (%)" numFmtId="0" hierarchy="18" level="32767"/>
    <cacheField name="[Measures].[Count of Quantity Sold]" caption="Count of Quantity Sold" numFmtId="0" hierarchy="24" level="32767"/>
  </cacheFields>
  <cacheHierarchies count="2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person]" caption="Count of Salespers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Discount (%)]" caption="Max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argin (%)]" caption="Sum of Profit Margin (%)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Total Sales Amount]" caption="Max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es Amount]" caption="Max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 Sold]" caption="Count of Quantity Sol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Amount]" caption="Average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2.462891319446" backgroundQuery="1" createdVersion="7" refreshedVersion="7" minRefreshableVersion="3" recordCount="0" supportSubquery="1" supportAdvancedDrill="1" xr:uid="{34CE681B-FB5A-47F2-964B-B44B6279E7FC}">
  <cacheSource type="external" connectionId="1"/>
  <cacheFields count="2">
    <cacheField name="[Range].[Salesperson].[Salesperson]" caption="Salesperson" numFmtId="0" hierarchy="2" level="1">
      <sharedItems count="4">
        <s v="Arun Kumar"/>
        <s v="Meera Reddy"/>
        <s v="Priya Sharma"/>
        <s v="Rajesh Patel"/>
      </sharedItems>
    </cacheField>
    <cacheField name="[Measures].[Sum of Discount (%)]" caption="Sum of Discount (%)" numFmtId="0" hierarchy="16" level="32767"/>
  </cacheFields>
  <cacheHierarchies count="2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person]" caption="Count of Salespers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scount (%)]" caption="Sum of Discount (%)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Discount (%)]" caption="Max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Total Sales Amount]" caption="Max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es Amount]" caption="Max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 Sold]" caption="Count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Amount]" caption="Average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2.461766435183" backgroundQuery="1" createdVersion="7" refreshedVersion="7" minRefreshableVersion="3" recordCount="0" supportSubquery="1" supportAdvancedDrill="1" xr:uid="{B05B92C2-6B3E-4513-9E0D-5EE189BA7A3C}">
  <cacheSource type="external" connectionId="1"/>
  <cacheFields count="2">
    <cacheField name="[Range].[Region].[Region]" caption="Region" numFmtId="0" hierarchy="1" level="1">
      <sharedItems count="4">
        <s v="East"/>
        <s v="North"/>
        <s v="South"/>
        <s v="West"/>
      </sharedItems>
    </cacheField>
    <cacheField name="[Measures].[Max of Sales Amount]" caption="Max of Sales Amount" numFmtId="0" hierarchy="23" level="32767"/>
  </cacheFields>
  <cacheHierarchies count="2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person]" caption="Count of Salespers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Discount (%)]" caption="Max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Total Sales Amount]" caption="Max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es Amount]" caption="Max of Sales 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 Sold]" caption="Count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Amount]" caption="Average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0.866621412039" backgroundQuery="1" createdVersion="7" refreshedVersion="7" minRefreshableVersion="3" recordCount="0" supportSubquery="1" supportAdvancedDrill="1" xr:uid="{511B9B72-F4E1-46BE-8488-40D92C9E0027}">
  <cacheSource type="external" connectionId="1"/>
  <cacheFields count="2">
    <cacheField name="[Range].[Salesperson].[Salesperson]" caption="Salesperson" numFmtId="0" hierarchy="2" level="1">
      <sharedItems count="4">
        <s v="Arun Kumar"/>
        <s v="Meera Reddy"/>
        <s v="Priya Sharma"/>
        <s v="Rajesh Patel"/>
      </sharedItems>
    </cacheField>
    <cacheField name="[Measures].[Count of Product]" caption="Count of Product" numFmtId="0" hierarchy="15" level="32767"/>
  </cacheFields>
  <cacheHierarchies count="2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person]" caption="Count of Salespers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Discount (%)]" caption="Max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Total Sales Amount]" caption="Max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es Amount]" caption="Max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 Sold]" caption="Count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Amount]" caption="Average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0.874486111112" backgroundQuery="1" createdVersion="7" refreshedVersion="7" minRefreshableVersion="3" recordCount="0" supportSubquery="1" supportAdvancedDrill="1" xr:uid="{A14F5C18-857E-4A55-A3DA-5F031B9C9B5C}">
  <cacheSource type="external" connectionId="1"/>
  <cacheFields count="2">
    <cacheField name="[Range].[Date (Month)].[Date (Month)]" caption="Date (Month)" numFmtId="0" hierarchy="9" level="1">
      <sharedItems count="3">
        <s v="Jan"/>
        <s v="Feb"/>
        <s v="Mar"/>
      </sharedItems>
    </cacheField>
    <cacheField name="[Measures].[Sum of Sales Amount]" caption="Sum of Sales Amount" numFmtId="0" hierarchy="14" level="32767"/>
  </cacheFields>
  <cacheHierarchies count="2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person]" caption="Count of Salespers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Amount]" caption="Sum of Sales 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Discount (%)]" caption="Max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Total Sales Amount]" caption="Max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es Amount]" caption="Max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 Sold]" caption="Count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Amount]" caption="Average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0.882184374997" backgroundQuery="1" createdVersion="7" refreshedVersion="7" minRefreshableVersion="3" recordCount="0" supportSubquery="1" supportAdvancedDrill="1" xr:uid="{B101C669-143A-4C39-8FCD-E5F53B2DB41B}">
  <cacheSource type="external" connectionId="1"/>
  <cacheFields count="3">
    <cacheField name="[Measures].[Sum of Discount (%)]" caption="Sum of Discount (%)" numFmtId="0" hierarchy="16" level="32767"/>
    <cacheField name="[Measures].[Sum of Quantity Sold]" caption="Sum of Quantity Sold" numFmtId="0" hierarchy="22" level="32767"/>
    <cacheField name="[Range].[Salesperson].[Salesperson]" caption="Salesperson" numFmtId="0" hierarchy="2" level="1">
      <sharedItems count="4">
        <s v="Arun Kumar"/>
        <s v="Meera Reddy"/>
        <s v="Priya Sharma"/>
        <s v="Rajesh Patel"/>
      </sharedItems>
    </cacheField>
  </cacheFields>
  <cacheHierarchies count="2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person]" caption="Count of Salespers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scount (%)]" caption="Sum of Discount (%)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Discount (%)]" caption="Max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Total Sales Amount]" caption="Max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 Sold]" caption="Sum of Quantity Sol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es Amount]" caption="Max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 Sold]" caption="Count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Amount]" caption="Average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0.880293981485" backgroundQuery="1" createdVersion="7" refreshedVersion="7" minRefreshableVersion="3" recordCount="0" supportSubquery="1" supportAdvancedDrill="1" xr:uid="{EE715227-B741-4FDD-AB0B-B12ED580602E}">
  <cacheSource type="external" connectionId="1"/>
  <cacheFields count="2">
    <cacheField name="[Measures].[Sum of Quantity Sold]" caption="Sum of Quantity Sold" numFmtId="0" hierarchy="22" level="32767"/>
    <cacheField name="[Range].[Region].[Region]" caption="Region" numFmtId="0" hierarchy="1" level="1">
      <sharedItems count="4">
        <s v="East"/>
        <s v="North"/>
        <s v="South"/>
        <s v="West"/>
      </sharedItems>
    </cacheField>
  </cacheFields>
  <cacheHierarchies count="2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person]" caption="Count of Salespers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Discount (%)]" caption="Max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Total Sales Amount]" caption="Max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 Sold]" caption="Sum of Quantity Sol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es Amount]" caption="Max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 Sold]" caption="Count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Amount]" caption="Average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0.865656712966" backgroundQuery="1" createdVersion="7" refreshedVersion="7" minRefreshableVersion="3" recordCount="0" supportSubquery="1" supportAdvancedDrill="1" xr:uid="{D2EFDD79-0D70-42D2-8B25-0AC781155210}">
  <cacheSource type="external" connectionId="1"/>
  <cacheFields count="2">
    <cacheField name="[Range].[Region].[Region]" caption="Region" numFmtId="0" hierarchy="1" level="1">
      <sharedItems count="4">
        <s v="East"/>
        <s v="North"/>
        <s v="South"/>
        <s v="West"/>
      </sharedItems>
    </cacheField>
    <cacheField name="[Measures].[Sum of Sales Amount]" caption="Sum of Sales Amount" numFmtId="0" hierarchy="14" level="32767"/>
  </cacheFields>
  <cacheHierarchies count="2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person]" caption="Count of Salespers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Amount]" caption="Sum of Sales 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Discount (%)]" caption="Max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Total Sales Amount]" caption="Max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es Amount]" caption="Max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 Sold]" caption="Count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Amount]" caption="Average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0.873266550923" backgroundQuery="1" createdVersion="7" refreshedVersion="7" minRefreshableVersion="3" recordCount="0" supportSubquery="1" supportAdvancedDrill="1" xr:uid="{49968EAF-02A1-4B14-8C5B-252116326FC3}">
  <cacheSource type="external" connectionId="1"/>
  <cacheFields count="2">
    <cacheField name="[Range].[Product].[Product]" caption="Product" numFmtId="0" hierarchy="3" level="1">
      <sharedItems count="3">
        <s v="Product X"/>
        <s v="Product Y"/>
        <s v="Product Z"/>
      </sharedItems>
    </cacheField>
    <cacheField name="[Measures].[Average of Discount (%)]" caption="Average of Discount (%)" numFmtId="0" hierarchy="19" level="32767"/>
  </cacheFields>
  <cacheHierarchies count="2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person]" caption="Count of Salespers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Discount (%)]" caption="Max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Total Sales Amount]" caption="Max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es Amount]" caption="Max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 Sold]" caption="Count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Amount]" caption="Average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0.879579166663" backgroundQuery="1" createdVersion="7" refreshedVersion="7" minRefreshableVersion="3" recordCount="0" supportSubquery="1" supportAdvancedDrill="1" xr:uid="{63F7BB79-9237-49F3-A517-E95D5F84C829}">
  <cacheSource type="external" connectionId="1"/>
  <cacheFields count="2">
    <cacheField name="[Range].[Salesperson].[Salesperson]" caption="Salesperson" numFmtId="0" hierarchy="2" level="1">
      <sharedItems count="4">
        <s v="Arun Kumar"/>
        <s v="Meera Reddy"/>
        <s v="Priya Sharma"/>
        <s v="Rajesh Patel"/>
      </sharedItems>
    </cacheField>
    <cacheField name="[Measures].[Sum of Quantity Sold]" caption="Sum of Quantity Sold" numFmtId="0" hierarchy="22" level="32767"/>
  </cacheFields>
  <cacheHierarchies count="2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person]" caption="Count of Salespers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Discount (%)]" caption="Max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Total Sales Amount]" caption="Max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 Sold]" caption="Sum of Quantity Sol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es Amount]" caption="Max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 Sold]" caption="Count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Amount]" caption="Average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0.870790740744" backgroundQuery="1" createdVersion="7" refreshedVersion="7" minRefreshableVersion="3" recordCount="0" supportSubquery="1" supportAdvancedDrill="1" xr:uid="{7832B7F1-6119-49E1-BFB4-9F018A1D2F2F}">
  <cacheSource type="external" connectionId="1"/>
  <cacheFields count="2">
    <cacheField name="[Range].[Salesperson].[Salesperson]" caption="Salesperson" numFmtId="0" hierarchy="2" level="1">
      <sharedItems count="4">
        <s v="Arun Kumar"/>
        <s v="Meera Reddy"/>
        <s v="Priya Sharma"/>
        <s v="Rajesh Patel"/>
      </sharedItems>
    </cacheField>
    <cacheField name="[Measures].[Sum of Profit Margin (%)]" caption="Sum of Profit Margin (%)" numFmtId="0" hierarchy="18" level="32767"/>
  </cacheFields>
  <cacheHierarchies count="2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person]" caption="Count of Salespers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Discount (%)]" caption="Max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argin (%)]" caption="Sum of Profit Margin (%)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Total Sales Amount]" caption="Max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es Amount]" caption="Max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 Sold]" caption="Count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Amount]" caption="Average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0.869991898151" backgroundQuery="1" createdVersion="7" refreshedVersion="7" minRefreshableVersion="3" recordCount="0" supportSubquery="1" supportAdvancedDrill="1" xr:uid="{204AF8EE-24EA-4481-8015-C66C7121F9C8}">
  <cacheSource type="external" connectionId="1"/>
  <cacheFields count="2">
    <cacheField name="[Measures].[Sum of Sales Amount]" caption="Sum of Sales Amount" numFmtId="0" hierarchy="14" level="32767"/>
    <cacheField name="[Range].[Salesperson].[Salesperson]" caption="Salesperson" numFmtId="0" hierarchy="2" level="1">
      <sharedItems count="4">
        <s v="Arun Kumar"/>
        <s v="Meera Reddy"/>
        <s v="Priya Sharma"/>
        <s v="Rajesh Patel"/>
      </sharedItems>
    </cacheField>
  </cacheFields>
  <cacheHierarchies count="2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person]" caption="Count of Salespers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Amount]" caption="Sum of Sales Amoun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Discount (%)]" caption="Max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Total Sales Amount]" caption="Max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es Amount]" caption="Max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 Sold]" caption="Count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Amount]" caption="Average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0.877224421296" backgroundQuery="1" createdVersion="7" refreshedVersion="7" minRefreshableVersion="3" recordCount="0" supportSubquery="1" supportAdvancedDrill="1" xr:uid="{11609CFB-9BDE-4DB3-B882-FBD8FBF32902}">
  <cacheSource type="external" connectionId="1"/>
  <cacheFields count="2">
    <cacheField name="[Range].[Product].[Product]" caption="Product" numFmtId="0" hierarchy="3" level="1">
      <sharedItems count="3">
        <s v="Product X"/>
        <s v="Product Y"/>
        <s v="Product Z"/>
      </sharedItems>
    </cacheField>
    <cacheField name="[Measures].[Sum of Sales Amount]" caption="Sum of Sales Amount" numFmtId="0" hierarchy="14" level="32767"/>
  </cacheFields>
  <cacheHierarchies count="2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person]" caption="Count of Salespers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Amount]" caption="Sum of Sales 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Discount (%)]" caption="Max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Total Sales Amount]" caption="Max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es Amount]" caption="Max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 Sold]" caption="Count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Amount]" caption="Average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0.86874351852" backgroundQuery="1" createdVersion="7" refreshedVersion="7" minRefreshableVersion="3" recordCount="0" supportSubquery="1" supportAdvancedDrill="1" xr:uid="{47FA7BA1-F00E-45CE-96E8-76D162512637}">
  <cacheSource type="external" connectionId="1"/>
  <cacheFields count="2">
    <cacheField name="[Range].[Salesperson].[Salesperson]" caption="Salesperson" numFmtId="0" hierarchy="2" level="1">
      <sharedItems count="4">
        <s v="Arun Kumar"/>
        <s v="Meera Reddy"/>
        <s v="Priya Sharma"/>
        <s v="Rajesh Patel"/>
      </sharedItems>
    </cacheField>
    <cacheField name="[Measures].[Max of Discount (%)]" caption="Max of Discount (%)" numFmtId="0" hierarchy="17" level="32767"/>
  </cacheFields>
  <cacheHierarchies count="2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person]" caption="Count of Salespers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Discount (%)]" caption="Max of Discount (%)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Total Sales Amount]" caption="Max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es Amount]" caption="Max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 Sold]" caption="Count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Amount]" caption="Average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0.876079861111" backgroundQuery="1" createdVersion="7" refreshedVersion="7" minRefreshableVersion="3" recordCount="0" supportSubquery="1" supportAdvancedDrill="1" xr:uid="{2C426FFF-876C-45DE-A95D-2A62DEEA3105}">
  <cacheSource type="external" connectionId="1"/>
  <cacheFields count="2">
    <cacheField name="[Range].[Salesperson].[Salesperson]" caption="Salesperson" numFmtId="0" hierarchy="2" level="1">
      <sharedItems count="4">
        <s v="Arun Kumar"/>
        <s v="Meera Reddy"/>
        <s v="Priya Sharma"/>
        <s v="Rajesh Patel"/>
      </sharedItems>
    </cacheField>
    <cacheField name="[Measures].[Max of Total Sales Amount]" caption="Max of Total Sales Amount" numFmtId="0" hierarchy="21" level="32767"/>
  </cacheFields>
  <cacheHierarchies count="2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person]" caption="Count of Salespers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Discount (%)]" caption="Max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Total Sales Amount]" caption="Max of Total Sales 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ales Amount]" caption="Max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 Sold]" caption="Count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Amount]" caption="Average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A9BFA-C0FF-4622-9AD0-665E495DBC2D}" name="PivotTable8" cacheId="6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6">
  <location ref="I12:J1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Total Sales Amount" fld="1" subtotal="max" baseField="0" baseItem="0"/>
  </dataField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Total Sales Amoun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21C79-0965-404A-BD9F-A6D50B9D424B}" name="PivotTable5" cacheId="5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E12:F1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 Margin (%)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701ED-9470-4984-89AB-CF23787247DF}" name="PivotTable7" cacheId="5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 rowHeaderCaption="Date (Month)">
  <location ref="I3:J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1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A8830-88E6-440D-BF18-5A47DA02C74D}" name="PivotTable1" cacheId="5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1" baseField="0" baseItem="0"/>
  </dataFields>
  <chartFormats count="2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ass!$A$3:$I$9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1DB11-94F6-4E80-AC24-FE597E21F6B9}" name="PivotTable14" cacheId="5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9:F44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iscount (%)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A8DA0-01F9-4137-80EA-493A0CB757C3}" name="PivotTable61" cacheId="4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48:M53" firstHeaderRow="0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x of Discount (%)" fld="3" subtotal="max" baseField="0" baseItem="0"/>
    <dataField name="Sum of Profit Margin (%)" fld="1" baseField="0" baseItem="0"/>
    <dataField name="Sum of Total Sales Amount" fld="2" baseField="0" baseItem="0"/>
    <dataField name="Average of Sales Amount" fld="4" subtotal="average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Max of Discount (%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ales Amount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D914DB-0D63-483F-A8F9-B2116C9CA858}" name="PivotTable6" cacheId="5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E21:F2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iscount (%)" fld="1" subtotal="average" baseField="0" baseItem="0"/>
  </dataField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iscount (%)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5AFC01-0C63-4145-9E45-8D59D19A6B40}" name="PivotTable12" cacheId="5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30:K35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count (%)" fld="0" baseField="0" baseItem="0"/>
    <dataField name="Sum of Quantity Sold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39F7F-8F9B-4CAE-A8EE-055378E742C3}" name="PivotTable55" cacheId="4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48:F49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Profit Margin (%)" fld="0" baseField="0" baseItem="0"/>
    <dataField name="Sum of Sales Amount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09C7D-1FED-4508-8498-DAD8E5E5A0AE}" name="PivotTable11" cacheId="5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0:F3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 Sold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C3106-052B-4168-91A9-8BD4C2BF7E91}" name="PivotTable13" cacheId="5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9:B44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Sales Amount" fld="1" subtotal="max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Sales Amount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183A8-CB83-40C6-99CF-F59D7CC9ADDC}" name="PivotTable9" cacheId="6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21:J2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51B37-B093-4C0A-BDF5-78F753CF0A93}" name="PivotTable15" cacheId="4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39:J40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Quantity Sold" fld="1" subtotal="count" baseField="0" baseItem="0"/>
    <dataField name="Sum of Profit Margin (%)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Quantity Sold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95CBF-0841-4959-B11F-10794552B304}" name="PivotTable31" cacheId="4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7:B52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 Sold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79686-FD32-4D1C-A383-058EBFD379FD}" name="PivotTable10" cacheId="5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0:B35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 Sold" fld="1" baseField="0" baseItem="0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A5C89-4FB6-4628-B5C8-9F9CAB92C191}" name="PivotTable4" cacheId="6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E3:F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0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FDAFE-13E0-473F-BA57-63232A519D84}" name="PivotTable3" cacheId="6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A21:B2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Discount (%)" fld="1" subtotal="max" baseField="0" baseItem="0"/>
  </dataFields>
  <chartFormats count="10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Max of Discount (%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0A539-AB68-4D7B-8004-A1442F9D25CC}" name="PivotTable2" cacheId="5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2">
  <location ref="A12:B1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duct" fld="1" subtotal="count" baseField="0" baseItem="0"/>
  </dataFields>
  <chartFormats count="2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FCBE-3D38-4267-AB58-65FA752B7141}">
  <sheetPr codeName="Sheet1"/>
  <dimension ref="A1:M53"/>
  <sheetViews>
    <sheetView topLeftCell="D34" workbookViewId="0">
      <selection activeCell="K44" sqref="K44"/>
    </sheetView>
  </sheetViews>
  <sheetFormatPr defaultRowHeight="14.4" x14ac:dyDescent="0.3"/>
  <cols>
    <col min="1" max="1" width="12.5546875" bestFit="1" customWidth="1"/>
    <col min="2" max="3" width="19.109375" bestFit="1" customWidth="1"/>
    <col min="4" max="4" width="17" customWidth="1"/>
    <col min="5" max="5" width="22.109375" bestFit="1" customWidth="1"/>
    <col min="6" max="6" width="19.21875" bestFit="1" customWidth="1"/>
    <col min="7" max="8" width="8.77734375" bestFit="1" customWidth="1"/>
    <col min="9" max="9" width="12.5546875" bestFit="1" customWidth="1"/>
    <col min="10" max="10" width="18.109375" bestFit="1" customWidth="1"/>
    <col min="11" max="11" width="22.109375" bestFit="1" customWidth="1"/>
    <col min="12" max="12" width="24" bestFit="1" customWidth="1"/>
    <col min="13" max="13" width="22.44140625" bestFit="1" customWidth="1"/>
    <col min="14" max="31" width="9.77734375" bestFit="1" customWidth="1"/>
    <col min="32" max="40" width="8.77734375" bestFit="1" customWidth="1"/>
    <col min="41" max="60" width="9.77734375" bestFit="1" customWidth="1"/>
    <col min="61" max="69" width="8.77734375" bestFit="1" customWidth="1"/>
    <col min="70" max="91" width="9.77734375" bestFit="1" customWidth="1"/>
    <col min="92" max="92" width="10.77734375" bestFit="1" customWidth="1"/>
  </cols>
  <sheetData>
    <row r="1" spans="1:10" x14ac:dyDescent="0.3">
      <c r="A1" t="s">
        <v>34</v>
      </c>
      <c r="E1" t="s">
        <v>33</v>
      </c>
      <c r="I1" t="s">
        <v>43</v>
      </c>
    </row>
    <row r="3" spans="1:10" x14ac:dyDescent="0.3">
      <c r="A3" s="5" t="s">
        <v>26</v>
      </c>
      <c r="B3" t="s">
        <v>27</v>
      </c>
      <c r="E3" s="5" t="s">
        <v>26</v>
      </c>
      <c r="F3" t="s">
        <v>27</v>
      </c>
      <c r="I3" s="5" t="s">
        <v>39</v>
      </c>
      <c r="J3" t="s">
        <v>27</v>
      </c>
    </row>
    <row r="4" spans="1:10" x14ac:dyDescent="0.3">
      <c r="A4" s="6" t="s">
        <v>11</v>
      </c>
      <c r="B4">
        <v>71400</v>
      </c>
      <c r="E4" s="6" t="s">
        <v>12</v>
      </c>
      <c r="F4">
        <v>71400</v>
      </c>
      <c r="I4" s="6" t="s">
        <v>23</v>
      </c>
      <c r="J4">
        <v>99600</v>
      </c>
    </row>
    <row r="5" spans="1:10" x14ac:dyDescent="0.3">
      <c r="A5" s="6" t="s">
        <v>17</v>
      </c>
      <c r="B5">
        <v>73200</v>
      </c>
      <c r="E5" s="6" t="s">
        <v>20</v>
      </c>
      <c r="F5">
        <v>84000</v>
      </c>
      <c r="I5" s="6" t="s">
        <v>24</v>
      </c>
      <c r="J5">
        <v>96400</v>
      </c>
    </row>
    <row r="6" spans="1:10" x14ac:dyDescent="0.3">
      <c r="A6" s="6" t="s">
        <v>19</v>
      </c>
      <c r="B6">
        <v>84000</v>
      </c>
      <c r="E6" s="6" t="s">
        <v>15</v>
      </c>
      <c r="F6">
        <v>73600</v>
      </c>
      <c r="I6" s="6" t="s">
        <v>25</v>
      </c>
      <c r="J6">
        <v>106200</v>
      </c>
    </row>
    <row r="7" spans="1:10" x14ac:dyDescent="0.3">
      <c r="A7" s="6" t="s">
        <v>14</v>
      </c>
      <c r="B7">
        <v>73600</v>
      </c>
      <c r="E7" s="6" t="s">
        <v>18</v>
      </c>
      <c r="F7">
        <v>73200</v>
      </c>
      <c r="I7" s="6" t="s">
        <v>22</v>
      </c>
      <c r="J7">
        <v>302200</v>
      </c>
    </row>
    <row r="8" spans="1:10" x14ac:dyDescent="0.3">
      <c r="A8" s="6" t="s">
        <v>22</v>
      </c>
      <c r="B8">
        <v>302200</v>
      </c>
      <c r="E8" s="6" t="s">
        <v>22</v>
      </c>
      <c r="F8">
        <v>302200</v>
      </c>
    </row>
    <row r="10" spans="1:10" x14ac:dyDescent="0.3">
      <c r="A10" s="6" t="s">
        <v>35</v>
      </c>
      <c r="E10" s="6" t="s">
        <v>32</v>
      </c>
      <c r="I10" s="6" t="s">
        <v>42</v>
      </c>
    </row>
    <row r="12" spans="1:10" x14ac:dyDescent="0.3">
      <c r="A12" s="5" t="s">
        <v>26</v>
      </c>
      <c r="B12" t="s">
        <v>28</v>
      </c>
      <c r="E12" s="5" t="s">
        <v>26</v>
      </c>
      <c r="F12" t="s">
        <v>31</v>
      </c>
      <c r="I12" s="5" t="s">
        <v>26</v>
      </c>
      <c r="J12" t="s">
        <v>40</v>
      </c>
    </row>
    <row r="13" spans="1:10" x14ac:dyDescent="0.3">
      <c r="A13" s="6" t="s">
        <v>12</v>
      </c>
      <c r="B13">
        <v>23</v>
      </c>
      <c r="E13" s="6" t="s">
        <v>12</v>
      </c>
      <c r="F13">
        <v>532</v>
      </c>
      <c r="I13" s="6" t="s">
        <v>12</v>
      </c>
      <c r="J13">
        <v>882000</v>
      </c>
    </row>
    <row r="14" spans="1:10" x14ac:dyDescent="0.3">
      <c r="A14" s="6" t="s">
        <v>20</v>
      </c>
      <c r="B14">
        <v>22</v>
      </c>
      <c r="E14" s="6" t="s">
        <v>20</v>
      </c>
      <c r="F14">
        <v>598</v>
      </c>
      <c r="I14" s="6" t="s">
        <v>20</v>
      </c>
      <c r="J14">
        <v>1250000</v>
      </c>
    </row>
    <row r="15" spans="1:10" x14ac:dyDescent="0.3">
      <c r="A15" s="6" t="s">
        <v>15</v>
      </c>
      <c r="B15">
        <v>23</v>
      </c>
      <c r="E15" s="6" t="s">
        <v>15</v>
      </c>
      <c r="F15">
        <v>524</v>
      </c>
      <c r="I15" s="6" t="s">
        <v>15</v>
      </c>
      <c r="J15">
        <v>800000</v>
      </c>
    </row>
    <row r="16" spans="1:10" x14ac:dyDescent="0.3">
      <c r="A16" s="6" t="s">
        <v>18</v>
      </c>
      <c r="B16">
        <v>22</v>
      </c>
      <c r="E16" s="6" t="s">
        <v>18</v>
      </c>
      <c r="F16">
        <v>494</v>
      </c>
      <c r="I16" s="6" t="s">
        <v>18</v>
      </c>
      <c r="J16">
        <v>968000</v>
      </c>
    </row>
    <row r="17" spans="1:11" x14ac:dyDescent="0.3">
      <c r="A17" s="6" t="s">
        <v>22</v>
      </c>
      <c r="B17">
        <v>90</v>
      </c>
      <c r="E17" s="6" t="s">
        <v>22</v>
      </c>
      <c r="F17">
        <v>2148</v>
      </c>
      <c r="I17" s="6" t="s">
        <v>22</v>
      </c>
      <c r="J17">
        <v>1250000</v>
      </c>
    </row>
    <row r="19" spans="1:11" x14ac:dyDescent="0.3">
      <c r="A19" s="6" t="s">
        <v>36</v>
      </c>
      <c r="E19" s="6" t="s">
        <v>38</v>
      </c>
      <c r="I19" s="6" t="s">
        <v>41</v>
      </c>
    </row>
    <row r="21" spans="1:11" x14ac:dyDescent="0.3">
      <c r="A21" s="5" t="s">
        <v>26</v>
      </c>
      <c r="B21" t="s">
        <v>30</v>
      </c>
      <c r="E21" s="5" t="s">
        <v>26</v>
      </c>
      <c r="F21" t="s">
        <v>37</v>
      </c>
      <c r="I21" s="5" t="s">
        <v>26</v>
      </c>
      <c r="J21" t="s">
        <v>27</v>
      </c>
    </row>
    <row r="22" spans="1:11" x14ac:dyDescent="0.3">
      <c r="A22" s="6" t="s">
        <v>12</v>
      </c>
      <c r="B22">
        <v>18</v>
      </c>
      <c r="E22" s="6" t="s">
        <v>13</v>
      </c>
      <c r="F22">
        <v>10.206896551724139</v>
      </c>
      <c r="I22" s="6" t="s">
        <v>13</v>
      </c>
      <c r="J22">
        <v>88200</v>
      </c>
    </row>
    <row r="23" spans="1:11" x14ac:dyDescent="0.3">
      <c r="A23" s="6" t="s">
        <v>20</v>
      </c>
      <c r="B23">
        <v>20</v>
      </c>
      <c r="E23" s="6" t="s">
        <v>16</v>
      </c>
      <c r="F23">
        <v>12.32258064516129</v>
      </c>
      <c r="I23" s="6" t="s">
        <v>16</v>
      </c>
      <c r="J23">
        <v>103400</v>
      </c>
    </row>
    <row r="24" spans="1:11" x14ac:dyDescent="0.3">
      <c r="A24" s="6" t="s">
        <v>15</v>
      </c>
      <c r="B24">
        <v>16</v>
      </c>
      <c r="E24" s="6" t="s">
        <v>21</v>
      </c>
      <c r="F24">
        <v>13.566666666666666</v>
      </c>
      <c r="I24" s="6" t="s">
        <v>21</v>
      </c>
      <c r="J24">
        <v>110600</v>
      </c>
    </row>
    <row r="25" spans="1:11" x14ac:dyDescent="0.3">
      <c r="A25" s="6" t="s">
        <v>18</v>
      </c>
      <c r="B25">
        <v>14</v>
      </c>
      <c r="E25" s="6" t="s">
        <v>22</v>
      </c>
      <c r="F25">
        <v>12.055555555555555</v>
      </c>
      <c r="I25" s="6" t="s">
        <v>22</v>
      </c>
      <c r="J25">
        <v>302200</v>
      </c>
    </row>
    <row r="26" spans="1:11" x14ac:dyDescent="0.3">
      <c r="A26" s="6" t="s">
        <v>22</v>
      </c>
      <c r="B26">
        <v>20</v>
      </c>
    </row>
    <row r="28" spans="1:11" x14ac:dyDescent="0.3">
      <c r="A28" s="6" t="s">
        <v>45</v>
      </c>
      <c r="E28" s="6" t="s">
        <v>46</v>
      </c>
      <c r="I28" s="6" t="s">
        <v>47</v>
      </c>
    </row>
    <row r="30" spans="1:11" x14ac:dyDescent="0.3">
      <c r="A30" s="5" t="s">
        <v>26</v>
      </c>
      <c r="B30" t="s">
        <v>44</v>
      </c>
      <c r="E30" s="5" t="s">
        <v>26</v>
      </c>
      <c r="F30" t="s">
        <v>44</v>
      </c>
      <c r="I30" s="5" t="s">
        <v>26</v>
      </c>
      <c r="J30" t="s">
        <v>29</v>
      </c>
      <c r="K30" t="s">
        <v>44</v>
      </c>
    </row>
    <row r="31" spans="1:11" x14ac:dyDescent="0.3">
      <c r="A31" s="6" t="s">
        <v>12</v>
      </c>
      <c r="B31">
        <v>3570</v>
      </c>
      <c r="E31" s="6" t="s">
        <v>11</v>
      </c>
      <c r="F31">
        <v>3570</v>
      </c>
      <c r="I31" s="6" t="s">
        <v>12</v>
      </c>
      <c r="J31">
        <v>303</v>
      </c>
      <c r="K31">
        <v>3570</v>
      </c>
    </row>
    <row r="32" spans="1:11" x14ac:dyDescent="0.3">
      <c r="A32" s="6" t="s">
        <v>20</v>
      </c>
      <c r="B32">
        <v>4200</v>
      </c>
      <c r="E32" s="6" t="s">
        <v>17</v>
      </c>
      <c r="F32">
        <v>3660</v>
      </c>
      <c r="I32" s="6" t="s">
        <v>20</v>
      </c>
      <c r="J32">
        <v>330</v>
      </c>
      <c r="K32">
        <v>4200</v>
      </c>
    </row>
    <row r="33" spans="1:13" x14ac:dyDescent="0.3">
      <c r="A33" s="6" t="s">
        <v>15</v>
      </c>
      <c r="B33">
        <v>3680</v>
      </c>
      <c r="E33" s="6" t="s">
        <v>19</v>
      </c>
      <c r="F33">
        <v>4200</v>
      </c>
      <c r="I33" s="6" t="s">
        <v>15</v>
      </c>
      <c r="J33">
        <v>263</v>
      </c>
      <c r="K33">
        <v>3680</v>
      </c>
    </row>
    <row r="34" spans="1:13" x14ac:dyDescent="0.3">
      <c r="A34" s="6" t="s">
        <v>18</v>
      </c>
      <c r="B34">
        <v>3660</v>
      </c>
      <c r="E34" s="6" t="s">
        <v>14</v>
      </c>
      <c r="F34">
        <v>3680</v>
      </c>
      <c r="I34" s="6" t="s">
        <v>18</v>
      </c>
      <c r="J34">
        <v>189</v>
      </c>
      <c r="K34">
        <v>3660</v>
      </c>
    </row>
    <row r="35" spans="1:13" x14ac:dyDescent="0.3">
      <c r="A35" s="6" t="s">
        <v>22</v>
      </c>
      <c r="B35">
        <v>15110</v>
      </c>
      <c r="E35" s="6" t="s">
        <v>22</v>
      </c>
      <c r="F35">
        <v>15110</v>
      </c>
      <c r="I35" s="6" t="s">
        <v>22</v>
      </c>
      <c r="J35">
        <v>1085</v>
      </c>
      <c r="K35">
        <v>15110</v>
      </c>
    </row>
    <row r="37" spans="1:13" x14ac:dyDescent="0.3">
      <c r="A37" s="6" t="s">
        <v>48</v>
      </c>
      <c r="B37" t="s">
        <v>50</v>
      </c>
      <c r="E37" s="6" t="s">
        <v>51</v>
      </c>
      <c r="I37" s="6" t="s">
        <v>53</v>
      </c>
    </row>
    <row r="39" spans="1:13" x14ac:dyDescent="0.3">
      <c r="A39" s="5" t="s">
        <v>26</v>
      </c>
      <c r="B39" t="s">
        <v>49</v>
      </c>
      <c r="E39" s="5" t="s">
        <v>26</v>
      </c>
      <c r="F39" t="s">
        <v>29</v>
      </c>
      <c r="I39" t="s">
        <v>52</v>
      </c>
      <c r="J39" t="s">
        <v>31</v>
      </c>
    </row>
    <row r="40" spans="1:13" x14ac:dyDescent="0.3">
      <c r="A40" s="6" t="s">
        <v>11</v>
      </c>
      <c r="B40">
        <v>4200</v>
      </c>
      <c r="E40" s="6" t="s">
        <v>12</v>
      </c>
      <c r="F40">
        <v>303</v>
      </c>
      <c r="I40">
        <v>90</v>
      </c>
      <c r="J40">
        <v>2148</v>
      </c>
    </row>
    <row r="41" spans="1:13" x14ac:dyDescent="0.3">
      <c r="A41" s="6" t="s">
        <v>17</v>
      </c>
      <c r="B41">
        <v>4400</v>
      </c>
      <c r="E41" s="6" t="s">
        <v>20</v>
      </c>
      <c r="F41">
        <v>330</v>
      </c>
    </row>
    <row r="42" spans="1:13" x14ac:dyDescent="0.3">
      <c r="A42" s="6" t="s">
        <v>19</v>
      </c>
      <c r="B42">
        <v>5000</v>
      </c>
      <c r="E42" s="6" t="s">
        <v>15</v>
      </c>
      <c r="F42">
        <v>263</v>
      </c>
    </row>
    <row r="43" spans="1:13" x14ac:dyDescent="0.3">
      <c r="A43" s="6" t="s">
        <v>14</v>
      </c>
      <c r="B43">
        <v>4000</v>
      </c>
      <c r="E43" s="6" t="s">
        <v>18</v>
      </c>
      <c r="F43">
        <v>189</v>
      </c>
    </row>
    <row r="44" spans="1:13" x14ac:dyDescent="0.3">
      <c r="A44" s="6" t="s">
        <v>22</v>
      </c>
      <c r="B44">
        <v>5000</v>
      </c>
      <c r="E44" s="6" t="s">
        <v>22</v>
      </c>
      <c r="F44">
        <v>1085</v>
      </c>
    </row>
    <row r="46" spans="1:13" x14ac:dyDescent="0.3">
      <c r="A46" s="6" t="s">
        <v>54</v>
      </c>
      <c r="E46" s="6" t="s">
        <v>55</v>
      </c>
    </row>
    <row r="47" spans="1:13" x14ac:dyDescent="0.3">
      <c r="A47" s="5" t="s">
        <v>26</v>
      </c>
      <c r="B47" t="s">
        <v>44</v>
      </c>
    </row>
    <row r="48" spans="1:13" x14ac:dyDescent="0.3">
      <c r="A48" s="6" t="s">
        <v>12</v>
      </c>
      <c r="B48">
        <v>3570</v>
      </c>
      <c r="E48" t="s">
        <v>31</v>
      </c>
      <c r="F48" t="s">
        <v>27</v>
      </c>
      <c r="I48" s="5" t="s">
        <v>26</v>
      </c>
      <c r="J48" t="s">
        <v>30</v>
      </c>
      <c r="K48" t="s">
        <v>31</v>
      </c>
      <c r="L48" t="s">
        <v>61</v>
      </c>
      <c r="M48" t="s">
        <v>62</v>
      </c>
    </row>
    <row r="49" spans="1:13" x14ac:dyDescent="0.3">
      <c r="A49" s="6" t="s">
        <v>20</v>
      </c>
      <c r="B49">
        <v>4200</v>
      </c>
      <c r="E49">
        <v>2148</v>
      </c>
      <c r="F49">
        <v>302200</v>
      </c>
      <c r="I49" s="6" t="s">
        <v>12</v>
      </c>
      <c r="J49">
        <v>18</v>
      </c>
      <c r="K49">
        <v>532</v>
      </c>
      <c r="L49">
        <v>11466000</v>
      </c>
      <c r="M49">
        <v>3104.3478260869565</v>
      </c>
    </row>
    <row r="50" spans="1:13" x14ac:dyDescent="0.3">
      <c r="A50" s="6" t="s">
        <v>15</v>
      </c>
      <c r="B50">
        <v>3680</v>
      </c>
      <c r="I50" s="6" t="s">
        <v>20</v>
      </c>
      <c r="J50">
        <v>20</v>
      </c>
      <c r="K50">
        <v>598</v>
      </c>
      <c r="L50">
        <v>16472000</v>
      </c>
      <c r="M50">
        <v>3818.181818181818</v>
      </c>
    </row>
    <row r="51" spans="1:13" x14ac:dyDescent="0.3">
      <c r="A51" s="6" t="s">
        <v>18</v>
      </c>
      <c r="B51">
        <v>3660</v>
      </c>
      <c r="I51" s="6" t="s">
        <v>15</v>
      </c>
      <c r="J51">
        <v>16</v>
      </c>
      <c r="K51">
        <v>524</v>
      </c>
      <c r="L51">
        <v>12020000</v>
      </c>
      <c r="M51">
        <v>3200</v>
      </c>
    </row>
    <row r="52" spans="1:13" x14ac:dyDescent="0.3">
      <c r="A52" s="6" t="s">
        <v>22</v>
      </c>
      <c r="B52">
        <v>15110</v>
      </c>
      <c r="I52" s="6" t="s">
        <v>18</v>
      </c>
      <c r="J52">
        <v>14</v>
      </c>
      <c r="K52">
        <v>494</v>
      </c>
      <c r="L52">
        <v>12568000</v>
      </c>
      <c r="M52">
        <v>3327.2727272727275</v>
      </c>
    </row>
    <row r="53" spans="1:13" x14ac:dyDescent="0.3">
      <c r="I53" s="6" t="s">
        <v>22</v>
      </c>
      <c r="J53">
        <v>20</v>
      </c>
      <c r="K53">
        <v>2148</v>
      </c>
      <c r="L53">
        <v>52526000</v>
      </c>
      <c r="M53">
        <v>3357.7777777777778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26FB-F734-4335-91E8-391C334D2B1D}">
  <dimension ref="A1:X107"/>
  <sheetViews>
    <sheetView tabSelected="1" topLeftCell="E1" workbookViewId="0">
      <selection activeCell="T7" sqref="T7"/>
    </sheetView>
  </sheetViews>
  <sheetFormatPr defaultColWidth="0" defaultRowHeight="14.4" zeroHeight="1" x14ac:dyDescent="0.3"/>
  <cols>
    <col min="1" max="13" width="8.88671875" customWidth="1"/>
    <col min="14" max="14" width="21.109375" customWidth="1"/>
    <col min="15" max="18" width="8.88671875" customWidth="1"/>
    <col min="19" max="19" width="18" customWidth="1"/>
    <col min="20" max="21" width="8.88671875" customWidth="1"/>
    <col min="22" max="16384" width="8.88671875" hidden="1"/>
  </cols>
  <sheetData>
    <row r="1" spans="1:24" x14ac:dyDescent="0.3">
      <c r="A1" s="24"/>
      <c r="B1" s="24"/>
      <c r="C1" s="24"/>
      <c r="D1" s="24"/>
      <c r="E1" s="24"/>
      <c r="F1" s="24"/>
      <c r="G1" s="25" t="s">
        <v>63</v>
      </c>
      <c r="H1" s="25"/>
      <c r="I1" s="25"/>
      <c r="J1" s="25"/>
      <c r="K1" s="25"/>
      <c r="L1" s="25"/>
      <c r="M1" s="25"/>
      <c r="N1" s="25"/>
      <c r="O1" s="26" t="s">
        <v>56</v>
      </c>
      <c r="P1" s="27"/>
      <c r="Q1" s="27"/>
      <c r="R1" s="27"/>
      <c r="S1" s="27"/>
      <c r="T1" s="20"/>
      <c r="U1" s="21"/>
      <c r="V1" s="21"/>
      <c r="W1" s="21"/>
      <c r="X1" s="21"/>
    </row>
    <row r="2" spans="1:24" x14ac:dyDescent="0.3">
      <c r="A2" s="24"/>
      <c r="B2" s="24"/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7"/>
      <c r="P2" s="27"/>
      <c r="Q2" s="27"/>
      <c r="R2" s="27"/>
      <c r="S2" s="27"/>
      <c r="T2" s="21"/>
      <c r="U2" s="21"/>
      <c r="V2" s="21"/>
      <c r="W2" s="21"/>
      <c r="X2" s="21"/>
    </row>
    <row r="3" spans="1:24" x14ac:dyDescent="0.3">
      <c r="A3" s="24"/>
      <c r="B3" s="24"/>
      <c r="C3" s="24"/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7"/>
      <c r="P3" s="27"/>
      <c r="Q3" s="27"/>
      <c r="R3" s="27"/>
      <c r="S3" s="27"/>
      <c r="T3" s="21"/>
      <c r="U3" s="21"/>
      <c r="V3" s="21"/>
      <c r="W3" s="21"/>
      <c r="X3" s="21"/>
    </row>
    <row r="4" spans="1:24" x14ac:dyDescent="0.3">
      <c r="A4" s="24"/>
      <c r="B4" s="24"/>
      <c r="C4" s="24"/>
      <c r="D4" s="24"/>
      <c r="E4" s="24"/>
      <c r="F4" s="24"/>
      <c r="G4" s="25"/>
      <c r="H4" s="25"/>
      <c r="I4" s="25"/>
      <c r="J4" s="25"/>
      <c r="K4" s="25"/>
      <c r="L4" s="25"/>
      <c r="M4" s="25"/>
      <c r="N4" s="25"/>
      <c r="O4" s="27"/>
      <c r="P4" s="27"/>
      <c r="Q4" s="27"/>
      <c r="R4" s="27"/>
      <c r="S4" s="27"/>
      <c r="T4" s="21"/>
      <c r="U4" s="21"/>
      <c r="V4" s="21"/>
      <c r="W4" s="21"/>
      <c r="X4" s="21"/>
    </row>
    <row r="5" spans="1:24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4" x14ac:dyDescent="0.3">
      <c r="A6" s="8" t="s">
        <v>57</v>
      </c>
      <c r="B6" s="9"/>
      <c r="C6" s="9"/>
      <c r="D6" s="7"/>
      <c r="E6" s="7"/>
      <c r="F6" s="11" t="s">
        <v>58</v>
      </c>
      <c r="G6" s="12"/>
      <c r="H6" s="12"/>
      <c r="I6" s="7"/>
      <c r="J6" s="7"/>
      <c r="K6" s="14" t="s">
        <v>59</v>
      </c>
      <c r="L6" s="15"/>
      <c r="M6" s="15"/>
      <c r="N6" s="7"/>
      <c r="O6" s="7"/>
      <c r="P6" s="17" t="s">
        <v>60</v>
      </c>
      <c r="Q6" s="18"/>
      <c r="R6" s="18"/>
      <c r="S6" s="18"/>
      <c r="T6" s="7"/>
      <c r="U6" s="7"/>
    </row>
    <row r="7" spans="1:24" x14ac:dyDescent="0.3">
      <c r="A7" s="9"/>
      <c r="B7" s="9"/>
      <c r="C7" s="9"/>
      <c r="D7" s="7"/>
      <c r="E7" s="7"/>
      <c r="F7" s="12"/>
      <c r="G7" s="12"/>
      <c r="H7" s="12"/>
      <c r="I7" s="7"/>
      <c r="J7" s="7"/>
      <c r="K7" s="15"/>
      <c r="L7" s="15"/>
      <c r="M7" s="15"/>
      <c r="N7" s="7"/>
      <c r="O7" s="7"/>
      <c r="P7" s="18"/>
      <c r="Q7" s="18"/>
      <c r="R7" s="18"/>
      <c r="S7" s="18"/>
      <c r="T7" s="7"/>
      <c r="U7" s="7"/>
    </row>
    <row r="8" spans="1:24" x14ac:dyDescent="0.3">
      <c r="A8" s="10">
        <f>GETPIVOTDATA("[Measures].[Sum of Sales Amount]",'PIVOT TABLES'!$A$3)</f>
        <v>302200</v>
      </c>
      <c r="B8" s="10"/>
      <c r="C8" s="10"/>
      <c r="D8" s="7"/>
      <c r="E8" s="7"/>
      <c r="F8" s="13">
        <f>GETPIVOTDATA("[Measures].[Sum of Profit Margin (%)]",'PIVOT TABLES'!$E$12)</f>
        <v>2148</v>
      </c>
      <c r="G8" s="13"/>
      <c r="H8" s="13"/>
      <c r="I8" s="7"/>
      <c r="J8" s="7"/>
      <c r="K8" s="16">
        <f>GETPIVOTDATA("[Measures].[Max of Discount (%)]",'PIVOT TABLES'!$A$21)</f>
        <v>20</v>
      </c>
      <c r="L8" s="16"/>
      <c r="M8" s="16"/>
      <c r="N8" s="7"/>
      <c r="O8" s="7"/>
      <c r="P8" s="19">
        <f>GETPIVOTDATA("[Measures].[Average of Discount (%)]",'PIVOT TABLES'!$E$21)</f>
        <v>12.055555555555555</v>
      </c>
      <c r="Q8" s="19"/>
      <c r="R8" s="19"/>
      <c r="S8" s="19"/>
      <c r="T8" s="7"/>
      <c r="U8" s="7"/>
    </row>
    <row r="9" spans="1:24" x14ac:dyDescent="0.3">
      <c r="A9" s="10"/>
      <c r="B9" s="10"/>
      <c r="C9" s="10"/>
      <c r="D9" s="7"/>
      <c r="E9" s="7"/>
      <c r="F9" s="13"/>
      <c r="G9" s="13"/>
      <c r="H9" s="13"/>
      <c r="I9" s="7"/>
      <c r="J9" s="7"/>
      <c r="K9" s="16"/>
      <c r="L9" s="16"/>
      <c r="M9" s="16"/>
      <c r="N9" s="7"/>
      <c r="O9" s="7"/>
      <c r="P9" s="19"/>
      <c r="Q9" s="19"/>
      <c r="R9" s="19"/>
      <c r="S9" s="19"/>
      <c r="T9" s="7"/>
      <c r="U9" s="7"/>
    </row>
    <row r="10" spans="1:24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4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4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4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4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4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4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1:2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1:2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1:2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1:2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1:2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1:2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1:2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1:2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1:2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1:2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1:2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1:2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1:2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1:2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1:2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1:2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1:2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1:2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1:2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1:2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1:2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1:2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1:2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1:2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1:2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1:2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1:2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spans="1:2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1:2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1:2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1:2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2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1:2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</sheetData>
  <mergeCells count="12">
    <mergeCell ref="A6:C7"/>
    <mergeCell ref="A8:C9"/>
    <mergeCell ref="F6:H7"/>
    <mergeCell ref="F8:H9"/>
    <mergeCell ref="K6:M7"/>
    <mergeCell ref="K8:M9"/>
    <mergeCell ref="P6:S7"/>
    <mergeCell ref="P8:S9"/>
    <mergeCell ref="A1:F4"/>
    <mergeCell ref="G1:N4"/>
    <mergeCell ref="O1:S4"/>
    <mergeCell ref="T1:X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E750-B913-4127-9997-D15E9F90CF3D}">
  <sheetPr codeName="Sheet5">
    <pageSetUpPr fitToPage="1"/>
  </sheetPr>
  <dimension ref="A1:J93"/>
  <sheetViews>
    <sheetView workbookViewId="0">
      <pane ySplit="1" topLeftCell="A3" activePane="bottomLeft" state="frozen"/>
      <selection activeCell="M1048576" sqref="M1:M1048576"/>
      <selection pane="bottomLeft" activeCell="M1048576" sqref="M1:M1048576"/>
    </sheetView>
  </sheetViews>
  <sheetFormatPr defaultRowHeight="14.4" x14ac:dyDescent="0.3"/>
  <cols>
    <col min="1" max="1" width="27.5546875" customWidth="1"/>
    <col min="2" max="2" width="16.21875" customWidth="1"/>
    <col min="3" max="3" width="18.77734375" bestFit="1" customWidth="1"/>
    <col min="4" max="4" width="19.88671875" customWidth="1"/>
    <col min="5" max="5" width="16.5546875" customWidth="1"/>
    <col min="6" max="6" width="12.109375" customWidth="1"/>
    <col min="7" max="7" width="16" customWidth="1"/>
    <col min="8" max="8" width="22.44140625" bestFit="1" customWidth="1"/>
    <col min="9" max="9" width="13" customWidth="1"/>
  </cols>
  <sheetData>
    <row r="1" spans="1:10" ht="72.75" customHeight="1" x14ac:dyDescent="0.3">
      <c r="A1" s="22" t="s">
        <v>0</v>
      </c>
      <c r="B1" s="22"/>
      <c r="C1" s="22"/>
      <c r="D1" s="22"/>
      <c r="E1" s="22"/>
      <c r="F1" s="22"/>
      <c r="G1" s="22"/>
      <c r="H1" s="23" t="s">
        <v>1</v>
      </c>
      <c r="I1" s="23"/>
      <c r="J1" s="23"/>
    </row>
    <row r="3" spans="1:10" ht="28.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10" ht="15" customHeight="1" x14ac:dyDescent="0.3">
      <c r="A4" s="2">
        <v>45292</v>
      </c>
      <c r="B4" s="3" t="s">
        <v>11</v>
      </c>
      <c r="C4" s="3" t="s">
        <v>12</v>
      </c>
      <c r="D4" s="3" t="s">
        <v>13</v>
      </c>
      <c r="E4" s="3">
        <v>150</v>
      </c>
      <c r="F4" s="3">
        <v>3000</v>
      </c>
      <c r="G4" s="3">
        <v>10</v>
      </c>
      <c r="H4" s="3">
        <v>20</v>
      </c>
      <c r="I4" s="4">
        <f>E4*F4</f>
        <v>450000</v>
      </c>
    </row>
    <row r="5" spans="1:10" x14ac:dyDescent="0.3">
      <c r="A5" s="2">
        <v>45293</v>
      </c>
      <c r="B5" s="3" t="s">
        <v>14</v>
      </c>
      <c r="C5" s="3" t="s">
        <v>15</v>
      </c>
      <c r="D5" s="3" t="s">
        <v>16</v>
      </c>
      <c r="E5" s="3">
        <v>200</v>
      </c>
      <c r="F5" s="3">
        <v>4000</v>
      </c>
      <c r="G5" s="3">
        <v>15</v>
      </c>
      <c r="H5" s="3">
        <v>25</v>
      </c>
      <c r="I5" s="4">
        <f t="shared" ref="I5:I68" si="0">E5*F5</f>
        <v>800000</v>
      </c>
    </row>
    <row r="6" spans="1:10" x14ac:dyDescent="0.3">
      <c r="A6" s="2">
        <v>45294</v>
      </c>
      <c r="B6" s="3" t="s">
        <v>17</v>
      </c>
      <c r="C6" s="3" t="s">
        <v>18</v>
      </c>
      <c r="D6" s="3" t="s">
        <v>13</v>
      </c>
      <c r="E6" s="3">
        <v>120</v>
      </c>
      <c r="F6" s="3">
        <v>2400</v>
      </c>
      <c r="G6" s="3">
        <v>5</v>
      </c>
      <c r="H6" s="3">
        <v>18</v>
      </c>
      <c r="I6" s="4">
        <f t="shared" si="0"/>
        <v>288000</v>
      </c>
    </row>
    <row r="7" spans="1:10" x14ac:dyDescent="0.3">
      <c r="A7" s="2">
        <v>45295</v>
      </c>
      <c r="B7" s="3" t="s">
        <v>19</v>
      </c>
      <c r="C7" s="3" t="s">
        <v>20</v>
      </c>
      <c r="D7" s="3" t="s">
        <v>21</v>
      </c>
      <c r="E7" s="3">
        <v>250</v>
      </c>
      <c r="F7" s="3">
        <v>5000</v>
      </c>
      <c r="G7" s="3">
        <v>20</v>
      </c>
      <c r="H7" s="3">
        <v>30</v>
      </c>
      <c r="I7" s="4">
        <f t="shared" si="0"/>
        <v>1250000</v>
      </c>
    </row>
    <row r="8" spans="1:10" x14ac:dyDescent="0.3">
      <c r="A8" s="2">
        <v>45296</v>
      </c>
      <c r="B8" s="3" t="s">
        <v>11</v>
      </c>
      <c r="C8" s="3" t="s">
        <v>12</v>
      </c>
      <c r="D8" s="3" t="s">
        <v>16</v>
      </c>
      <c r="E8" s="3">
        <v>100</v>
      </c>
      <c r="F8" s="3">
        <v>2000</v>
      </c>
      <c r="G8" s="3">
        <v>10</v>
      </c>
      <c r="H8" s="3">
        <v>22</v>
      </c>
      <c r="I8" s="4">
        <f t="shared" si="0"/>
        <v>200000</v>
      </c>
    </row>
    <row r="9" spans="1:10" x14ac:dyDescent="0.3">
      <c r="A9" s="2">
        <v>45297</v>
      </c>
      <c r="B9" s="3" t="s">
        <v>14</v>
      </c>
      <c r="C9" s="3" t="s">
        <v>15</v>
      </c>
      <c r="D9" s="3" t="s">
        <v>13</v>
      </c>
      <c r="E9" s="3">
        <v>180</v>
      </c>
      <c r="F9" s="3">
        <v>3600</v>
      </c>
      <c r="G9" s="3">
        <v>12</v>
      </c>
      <c r="H9" s="3">
        <v>19</v>
      </c>
      <c r="I9" s="4">
        <f t="shared" si="0"/>
        <v>648000</v>
      </c>
    </row>
    <row r="10" spans="1:10" x14ac:dyDescent="0.3">
      <c r="A10" s="2">
        <v>45298</v>
      </c>
      <c r="B10" s="3" t="s">
        <v>17</v>
      </c>
      <c r="C10" s="3" t="s">
        <v>18</v>
      </c>
      <c r="D10" s="3" t="s">
        <v>16</v>
      </c>
      <c r="E10" s="3">
        <v>150</v>
      </c>
      <c r="F10" s="3">
        <v>3000</v>
      </c>
      <c r="G10" s="3">
        <v>8</v>
      </c>
      <c r="H10" s="3">
        <v>21</v>
      </c>
      <c r="I10" s="4">
        <f t="shared" si="0"/>
        <v>450000</v>
      </c>
    </row>
    <row r="11" spans="1:10" x14ac:dyDescent="0.3">
      <c r="A11" s="2">
        <v>45299</v>
      </c>
      <c r="B11" s="3" t="s">
        <v>19</v>
      </c>
      <c r="C11" s="3" t="s">
        <v>20</v>
      </c>
      <c r="D11" s="3" t="s">
        <v>13</v>
      </c>
      <c r="E11" s="3">
        <v>200</v>
      </c>
      <c r="F11" s="3">
        <v>4000</v>
      </c>
      <c r="G11" s="3">
        <v>15</v>
      </c>
      <c r="H11" s="3">
        <v>27</v>
      </c>
      <c r="I11" s="4">
        <f t="shared" si="0"/>
        <v>800000</v>
      </c>
    </row>
    <row r="12" spans="1:10" x14ac:dyDescent="0.3">
      <c r="A12" s="2">
        <v>45300</v>
      </c>
      <c r="B12" s="3" t="s">
        <v>11</v>
      </c>
      <c r="C12" s="3" t="s">
        <v>12</v>
      </c>
      <c r="D12" s="3" t="s">
        <v>21</v>
      </c>
      <c r="E12" s="3">
        <v>170</v>
      </c>
      <c r="F12" s="3">
        <v>3400</v>
      </c>
      <c r="G12" s="3">
        <v>18</v>
      </c>
      <c r="H12" s="3">
        <v>23</v>
      </c>
      <c r="I12" s="4">
        <f t="shared" si="0"/>
        <v>578000</v>
      </c>
    </row>
    <row r="13" spans="1:10" x14ac:dyDescent="0.3">
      <c r="A13" s="2">
        <v>45301</v>
      </c>
      <c r="B13" s="3" t="s">
        <v>14</v>
      </c>
      <c r="C13" s="3" t="s">
        <v>15</v>
      </c>
      <c r="D13" s="3" t="s">
        <v>21</v>
      </c>
      <c r="E13" s="3">
        <v>130</v>
      </c>
      <c r="F13" s="3">
        <v>2600</v>
      </c>
      <c r="G13" s="3">
        <v>10</v>
      </c>
      <c r="H13" s="3">
        <v>20</v>
      </c>
      <c r="I13" s="4">
        <f t="shared" si="0"/>
        <v>338000</v>
      </c>
    </row>
    <row r="14" spans="1:10" x14ac:dyDescent="0.3">
      <c r="A14" s="2">
        <v>45302</v>
      </c>
      <c r="B14" s="3" t="s">
        <v>17</v>
      </c>
      <c r="C14" s="3" t="s">
        <v>18</v>
      </c>
      <c r="D14" s="3" t="s">
        <v>13</v>
      </c>
      <c r="E14" s="3">
        <v>160</v>
      </c>
      <c r="F14" s="3">
        <v>3200</v>
      </c>
      <c r="G14" s="3">
        <v>5</v>
      </c>
      <c r="H14" s="3">
        <v>22</v>
      </c>
      <c r="I14" s="4">
        <f t="shared" si="0"/>
        <v>512000</v>
      </c>
    </row>
    <row r="15" spans="1:10" x14ac:dyDescent="0.3">
      <c r="A15" s="2">
        <v>45303</v>
      </c>
      <c r="B15" s="3" t="s">
        <v>19</v>
      </c>
      <c r="C15" s="3" t="s">
        <v>20</v>
      </c>
      <c r="D15" s="3" t="s">
        <v>16</v>
      </c>
      <c r="E15" s="3">
        <v>180</v>
      </c>
      <c r="F15" s="3">
        <v>3600</v>
      </c>
      <c r="G15" s="3">
        <v>12</v>
      </c>
      <c r="H15" s="3">
        <v>25</v>
      </c>
      <c r="I15" s="4">
        <f t="shared" si="0"/>
        <v>648000</v>
      </c>
    </row>
    <row r="16" spans="1:10" x14ac:dyDescent="0.3">
      <c r="A16" s="2">
        <v>45304</v>
      </c>
      <c r="B16" s="3" t="s">
        <v>11</v>
      </c>
      <c r="C16" s="3" t="s">
        <v>12</v>
      </c>
      <c r="D16" s="3" t="s">
        <v>16</v>
      </c>
      <c r="E16" s="3">
        <v>140</v>
      </c>
      <c r="F16" s="3">
        <v>2800</v>
      </c>
      <c r="G16" s="3">
        <v>11</v>
      </c>
      <c r="H16" s="3">
        <v>24</v>
      </c>
      <c r="I16" s="4">
        <f t="shared" si="0"/>
        <v>392000</v>
      </c>
    </row>
    <row r="17" spans="1:9" x14ac:dyDescent="0.3">
      <c r="A17" s="2">
        <v>45305</v>
      </c>
      <c r="B17" s="3" t="s">
        <v>14</v>
      </c>
      <c r="C17" s="3" t="s">
        <v>15</v>
      </c>
      <c r="D17" s="3" t="s">
        <v>13</v>
      </c>
      <c r="E17" s="3">
        <v>150</v>
      </c>
      <c r="F17" s="3">
        <v>3000</v>
      </c>
      <c r="G17" s="3">
        <v>8</v>
      </c>
      <c r="H17" s="3">
        <v>20</v>
      </c>
      <c r="I17" s="4">
        <f t="shared" si="0"/>
        <v>450000</v>
      </c>
    </row>
    <row r="18" spans="1:9" x14ac:dyDescent="0.3">
      <c r="A18" s="2">
        <v>45306</v>
      </c>
      <c r="B18" s="3" t="s">
        <v>17</v>
      </c>
      <c r="C18" s="3" t="s">
        <v>18</v>
      </c>
      <c r="D18" s="3" t="s">
        <v>21</v>
      </c>
      <c r="E18" s="3">
        <v>190</v>
      </c>
      <c r="F18" s="3">
        <v>3800</v>
      </c>
      <c r="G18" s="3">
        <v>7</v>
      </c>
      <c r="H18" s="3">
        <v>19</v>
      </c>
      <c r="I18" s="4">
        <f t="shared" si="0"/>
        <v>722000</v>
      </c>
    </row>
    <row r="19" spans="1:9" x14ac:dyDescent="0.3">
      <c r="A19" s="2">
        <v>45307</v>
      </c>
      <c r="B19" s="3" t="s">
        <v>19</v>
      </c>
      <c r="C19" s="3" t="s">
        <v>20</v>
      </c>
      <c r="D19" s="3" t="s">
        <v>21</v>
      </c>
      <c r="E19" s="3">
        <v>210</v>
      </c>
      <c r="F19" s="3">
        <v>4200</v>
      </c>
      <c r="G19" s="3">
        <v>16</v>
      </c>
      <c r="H19" s="3">
        <v>28</v>
      </c>
      <c r="I19" s="4">
        <f t="shared" si="0"/>
        <v>882000</v>
      </c>
    </row>
    <row r="20" spans="1:9" x14ac:dyDescent="0.3">
      <c r="A20" s="2">
        <v>45308</v>
      </c>
      <c r="B20" s="3" t="s">
        <v>11</v>
      </c>
      <c r="C20" s="3" t="s">
        <v>12</v>
      </c>
      <c r="D20" s="3" t="s">
        <v>21</v>
      </c>
      <c r="E20" s="3">
        <v>160</v>
      </c>
      <c r="F20" s="3">
        <v>3200</v>
      </c>
      <c r="G20" s="3">
        <v>12</v>
      </c>
      <c r="H20" s="3">
        <v>22</v>
      </c>
      <c r="I20" s="4">
        <f t="shared" si="0"/>
        <v>512000</v>
      </c>
    </row>
    <row r="21" spans="1:9" x14ac:dyDescent="0.3">
      <c r="A21" s="2">
        <v>45309</v>
      </c>
      <c r="B21" s="3" t="s">
        <v>14</v>
      </c>
      <c r="C21" s="3" t="s">
        <v>15</v>
      </c>
      <c r="D21" s="3" t="s">
        <v>16</v>
      </c>
      <c r="E21" s="3">
        <v>170</v>
      </c>
      <c r="F21" s="3">
        <v>3400</v>
      </c>
      <c r="G21" s="3">
        <v>14</v>
      </c>
      <c r="H21" s="3">
        <v>26</v>
      </c>
      <c r="I21" s="4">
        <f t="shared" si="0"/>
        <v>578000</v>
      </c>
    </row>
    <row r="22" spans="1:9" x14ac:dyDescent="0.3">
      <c r="A22" s="2">
        <v>45310</v>
      </c>
      <c r="B22" s="3" t="s">
        <v>17</v>
      </c>
      <c r="C22" s="3" t="s">
        <v>18</v>
      </c>
      <c r="D22" s="3" t="s">
        <v>13</v>
      </c>
      <c r="E22" s="3">
        <v>140</v>
      </c>
      <c r="F22" s="3">
        <v>2800</v>
      </c>
      <c r="G22" s="3">
        <v>6</v>
      </c>
      <c r="H22" s="3">
        <v>21</v>
      </c>
      <c r="I22" s="4">
        <f t="shared" si="0"/>
        <v>392000</v>
      </c>
    </row>
    <row r="23" spans="1:9" x14ac:dyDescent="0.3">
      <c r="A23" s="2">
        <v>45311</v>
      </c>
      <c r="B23" s="3" t="s">
        <v>19</v>
      </c>
      <c r="C23" s="3" t="s">
        <v>20</v>
      </c>
      <c r="D23" s="3" t="s">
        <v>16</v>
      </c>
      <c r="E23" s="3">
        <v>220</v>
      </c>
      <c r="F23" s="3">
        <v>4400</v>
      </c>
      <c r="G23" s="3">
        <v>18</v>
      </c>
      <c r="H23" s="3">
        <v>29</v>
      </c>
      <c r="I23" s="4">
        <f t="shared" si="0"/>
        <v>968000</v>
      </c>
    </row>
    <row r="24" spans="1:9" x14ac:dyDescent="0.3">
      <c r="A24" s="2">
        <v>45312</v>
      </c>
      <c r="B24" s="3" t="s">
        <v>11</v>
      </c>
      <c r="C24" s="3" t="s">
        <v>12</v>
      </c>
      <c r="D24" s="3" t="s">
        <v>13</v>
      </c>
      <c r="E24" s="3">
        <v>130</v>
      </c>
      <c r="F24" s="3">
        <v>2600</v>
      </c>
      <c r="G24" s="3">
        <v>11</v>
      </c>
      <c r="H24" s="3">
        <v>23</v>
      </c>
      <c r="I24" s="4">
        <f t="shared" si="0"/>
        <v>338000</v>
      </c>
    </row>
    <row r="25" spans="1:9" x14ac:dyDescent="0.3">
      <c r="A25" s="2">
        <v>45313</v>
      </c>
      <c r="B25" s="3" t="s">
        <v>14</v>
      </c>
      <c r="C25" s="3" t="s">
        <v>15</v>
      </c>
      <c r="D25" s="3" t="s">
        <v>21</v>
      </c>
      <c r="E25" s="3">
        <v>140</v>
      </c>
      <c r="F25" s="3">
        <v>2800</v>
      </c>
      <c r="G25" s="3">
        <v>9</v>
      </c>
      <c r="H25" s="3">
        <v>20</v>
      </c>
      <c r="I25" s="4">
        <f t="shared" si="0"/>
        <v>392000</v>
      </c>
    </row>
    <row r="26" spans="1:9" x14ac:dyDescent="0.3">
      <c r="A26" s="2">
        <v>45314</v>
      </c>
      <c r="B26" s="3" t="s">
        <v>17</v>
      </c>
      <c r="C26" s="3" t="s">
        <v>18</v>
      </c>
      <c r="D26" s="3" t="s">
        <v>16</v>
      </c>
      <c r="E26" s="3">
        <v>190</v>
      </c>
      <c r="F26" s="3">
        <v>3800</v>
      </c>
      <c r="G26" s="3">
        <v>10</v>
      </c>
      <c r="H26" s="3">
        <v>22</v>
      </c>
      <c r="I26" s="4">
        <f t="shared" si="0"/>
        <v>722000</v>
      </c>
    </row>
    <row r="27" spans="1:9" x14ac:dyDescent="0.3">
      <c r="A27" s="2">
        <v>45315</v>
      </c>
      <c r="B27" s="3" t="s">
        <v>19</v>
      </c>
      <c r="C27" s="3" t="s">
        <v>20</v>
      </c>
      <c r="D27" s="3" t="s">
        <v>13</v>
      </c>
      <c r="E27" s="3">
        <v>160</v>
      </c>
      <c r="F27" s="3">
        <v>3200</v>
      </c>
      <c r="G27" s="3">
        <v>13</v>
      </c>
      <c r="H27" s="3">
        <v>26</v>
      </c>
      <c r="I27" s="4">
        <f t="shared" si="0"/>
        <v>512000</v>
      </c>
    </row>
    <row r="28" spans="1:9" x14ac:dyDescent="0.3">
      <c r="A28" s="2">
        <v>45316</v>
      </c>
      <c r="B28" s="3" t="s">
        <v>11</v>
      </c>
      <c r="C28" s="3" t="s">
        <v>12</v>
      </c>
      <c r="D28" s="3" t="s">
        <v>21</v>
      </c>
      <c r="E28" s="3">
        <v>180</v>
      </c>
      <c r="F28" s="3">
        <v>3600</v>
      </c>
      <c r="G28" s="3">
        <v>15</v>
      </c>
      <c r="H28" s="3">
        <v>24</v>
      </c>
      <c r="I28" s="4">
        <f t="shared" si="0"/>
        <v>648000</v>
      </c>
    </row>
    <row r="29" spans="1:9" x14ac:dyDescent="0.3">
      <c r="A29" s="2">
        <v>45317</v>
      </c>
      <c r="B29" s="3" t="s">
        <v>14</v>
      </c>
      <c r="C29" s="3" t="s">
        <v>15</v>
      </c>
      <c r="D29" s="3" t="s">
        <v>13</v>
      </c>
      <c r="E29" s="3">
        <v>170</v>
      </c>
      <c r="F29" s="3">
        <v>3400</v>
      </c>
      <c r="G29" s="3">
        <v>8</v>
      </c>
      <c r="H29" s="3">
        <v>21</v>
      </c>
      <c r="I29" s="4">
        <f t="shared" si="0"/>
        <v>578000</v>
      </c>
    </row>
    <row r="30" spans="1:9" ht="15" customHeight="1" x14ac:dyDescent="0.3">
      <c r="A30" s="2">
        <v>45318</v>
      </c>
      <c r="B30" s="3" t="s">
        <v>17</v>
      </c>
      <c r="C30" s="3" t="s">
        <v>18</v>
      </c>
      <c r="D30" s="3" t="s">
        <v>21</v>
      </c>
      <c r="E30" s="3">
        <v>200</v>
      </c>
      <c r="F30" s="3">
        <v>4000</v>
      </c>
      <c r="G30" s="3">
        <v>12</v>
      </c>
      <c r="H30" s="3">
        <v>28</v>
      </c>
      <c r="I30" s="4">
        <f t="shared" si="0"/>
        <v>800000</v>
      </c>
    </row>
    <row r="31" spans="1:9" ht="15" customHeight="1" x14ac:dyDescent="0.3">
      <c r="A31" s="2">
        <v>45319</v>
      </c>
      <c r="B31" s="3" t="s">
        <v>19</v>
      </c>
      <c r="C31" s="3" t="s">
        <v>20</v>
      </c>
      <c r="D31" s="3" t="s">
        <v>16</v>
      </c>
      <c r="E31" s="3">
        <v>150</v>
      </c>
      <c r="F31" s="3">
        <v>3000</v>
      </c>
      <c r="G31" s="3">
        <v>16</v>
      </c>
      <c r="H31" s="3">
        <v>25</v>
      </c>
      <c r="I31" s="4">
        <f t="shared" si="0"/>
        <v>450000</v>
      </c>
    </row>
    <row r="32" spans="1:9" x14ac:dyDescent="0.3">
      <c r="A32" s="2">
        <v>45320</v>
      </c>
      <c r="B32" s="3" t="s">
        <v>11</v>
      </c>
      <c r="C32" s="3" t="s">
        <v>12</v>
      </c>
      <c r="D32" s="3" t="s">
        <v>16</v>
      </c>
      <c r="E32" s="3">
        <v>110</v>
      </c>
      <c r="F32" s="3">
        <v>2200</v>
      </c>
      <c r="G32" s="3">
        <v>14</v>
      </c>
      <c r="H32" s="3">
        <v>20</v>
      </c>
      <c r="I32" s="4">
        <f t="shared" si="0"/>
        <v>242000</v>
      </c>
    </row>
    <row r="33" spans="1:9" x14ac:dyDescent="0.3">
      <c r="A33" s="2">
        <v>45321</v>
      </c>
      <c r="B33" s="3" t="s">
        <v>14</v>
      </c>
      <c r="C33" s="3" t="s">
        <v>15</v>
      </c>
      <c r="D33" s="3" t="s">
        <v>21</v>
      </c>
      <c r="E33" s="3">
        <v>180</v>
      </c>
      <c r="F33" s="3">
        <v>3600</v>
      </c>
      <c r="G33" s="3">
        <v>11</v>
      </c>
      <c r="H33" s="3">
        <v>23</v>
      </c>
      <c r="I33" s="4">
        <f t="shared" si="0"/>
        <v>648000</v>
      </c>
    </row>
    <row r="34" spans="1:9" x14ac:dyDescent="0.3">
      <c r="A34" s="2">
        <v>45323</v>
      </c>
      <c r="B34" s="3" t="s">
        <v>11</v>
      </c>
      <c r="C34" s="3" t="s">
        <v>12</v>
      </c>
      <c r="D34" s="3" t="s">
        <v>16</v>
      </c>
      <c r="E34" s="3">
        <v>160</v>
      </c>
      <c r="F34" s="3">
        <v>3200</v>
      </c>
      <c r="G34" s="3">
        <v>12</v>
      </c>
      <c r="H34" s="3">
        <v>22</v>
      </c>
      <c r="I34" s="4">
        <f t="shared" si="0"/>
        <v>512000</v>
      </c>
    </row>
    <row r="35" spans="1:9" x14ac:dyDescent="0.3">
      <c r="A35" s="2">
        <v>45324</v>
      </c>
      <c r="B35" s="3" t="s">
        <v>14</v>
      </c>
      <c r="C35" s="3" t="s">
        <v>15</v>
      </c>
      <c r="D35" s="3" t="s">
        <v>21</v>
      </c>
      <c r="E35" s="3">
        <v>140</v>
      </c>
      <c r="F35" s="3">
        <v>2800</v>
      </c>
      <c r="G35" s="3">
        <v>14</v>
      </c>
      <c r="H35" s="3">
        <v>25</v>
      </c>
      <c r="I35" s="4">
        <f t="shared" si="0"/>
        <v>392000</v>
      </c>
    </row>
    <row r="36" spans="1:9" x14ac:dyDescent="0.3">
      <c r="A36" s="2">
        <v>45325</v>
      </c>
      <c r="B36" s="3" t="s">
        <v>17</v>
      </c>
      <c r="C36" s="3" t="s">
        <v>18</v>
      </c>
      <c r="D36" s="3" t="s">
        <v>13</v>
      </c>
      <c r="E36" s="3">
        <v>110</v>
      </c>
      <c r="F36" s="3">
        <v>2200</v>
      </c>
      <c r="G36" s="3">
        <v>8</v>
      </c>
      <c r="H36" s="3">
        <v>20</v>
      </c>
      <c r="I36" s="4">
        <f t="shared" si="0"/>
        <v>242000</v>
      </c>
    </row>
    <row r="37" spans="1:9" x14ac:dyDescent="0.3">
      <c r="A37" s="2">
        <v>45326</v>
      </c>
      <c r="B37" s="3" t="s">
        <v>19</v>
      </c>
      <c r="C37" s="3" t="s">
        <v>20</v>
      </c>
      <c r="D37" s="3" t="s">
        <v>16</v>
      </c>
      <c r="E37" s="3">
        <v>230</v>
      </c>
      <c r="F37" s="3">
        <v>4600</v>
      </c>
      <c r="G37" s="3">
        <v>10</v>
      </c>
      <c r="H37" s="3">
        <v>28</v>
      </c>
      <c r="I37" s="4">
        <f t="shared" si="0"/>
        <v>1058000</v>
      </c>
    </row>
    <row r="38" spans="1:9" x14ac:dyDescent="0.3">
      <c r="A38" s="2">
        <v>45327</v>
      </c>
      <c r="B38" s="3" t="s">
        <v>11</v>
      </c>
      <c r="C38" s="3" t="s">
        <v>12</v>
      </c>
      <c r="D38" s="3" t="s">
        <v>21</v>
      </c>
      <c r="E38" s="3">
        <v>190</v>
      </c>
      <c r="F38" s="3">
        <v>3800</v>
      </c>
      <c r="G38" s="3">
        <v>15</v>
      </c>
      <c r="H38" s="3">
        <v>24</v>
      </c>
      <c r="I38" s="4">
        <f t="shared" si="0"/>
        <v>722000</v>
      </c>
    </row>
    <row r="39" spans="1:9" x14ac:dyDescent="0.3">
      <c r="A39" s="2">
        <v>45328</v>
      </c>
      <c r="B39" s="3" t="s">
        <v>14</v>
      </c>
      <c r="C39" s="3" t="s">
        <v>15</v>
      </c>
      <c r="D39" s="3" t="s">
        <v>13</v>
      </c>
      <c r="E39" s="3">
        <v>140</v>
      </c>
      <c r="F39" s="3">
        <v>2800</v>
      </c>
      <c r="G39" s="3">
        <v>11</v>
      </c>
      <c r="H39" s="3">
        <v>21</v>
      </c>
      <c r="I39" s="4">
        <f t="shared" si="0"/>
        <v>392000</v>
      </c>
    </row>
    <row r="40" spans="1:9" x14ac:dyDescent="0.3">
      <c r="A40" s="2">
        <v>45329</v>
      </c>
      <c r="B40" s="3" t="s">
        <v>17</v>
      </c>
      <c r="C40" s="3" t="s">
        <v>18</v>
      </c>
      <c r="D40" s="3" t="s">
        <v>16</v>
      </c>
      <c r="E40" s="3">
        <v>160</v>
      </c>
      <c r="F40" s="3">
        <v>3200</v>
      </c>
      <c r="G40" s="3">
        <v>7</v>
      </c>
      <c r="H40" s="3">
        <v>22</v>
      </c>
      <c r="I40" s="4">
        <f t="shared" si="0"/>
        <v>512000</v>
      </c>
    </row>
    <row r="41" spans="1:9" x14ac:dyDescent="0.3">
      <c r="A41" s="2">
        <v>45330</v>
      </c>
      <c r="B41" s="3" t="s">
        <v>19</v>
      </c>
      <c r="C41" s="3" t="s">
        <v>20</v>
      </c>
      <c r="D41" s="3" t="s">
        <v>21</v>
      </c>
      <c r="E41" s="3">
        <v>220</v>
      </c>
      <c r="F41" s="3">
        <v>4400</v>
      </c>
      <c r="G41" s="3">
        <v>18</v>
      </c>
      <c r="H41" s="3">
        <v>30</v>
      </c>
      <c r="I41" s="4">
        <f t="shared" si="0"/>
        <v>968000</v>
      </c>
    </row>
    <row r="42" spans="1:9" x14ac:dyDescent="0.3">
      <c r="A42" s="2">
        <v>45331</v>
      </c>
      <c r="B42" s="3" t="s">
        <v>11</v>
      </c>
      <c r="C42" s="3" t="s">
        <v>12</v>
      </c>
      <c r="D42" s="3" t="s">
        <v>13</v>
      </c>
      <c r="E42" s="3">
        <v>140</v>
      </c>
      <c r="F42" s="3">
        <v>2800</v>
      </c>
      <c r="G42" s="3">
        <v>12</v>
      </c>
      <c r="H42" s="3">
        <v>23</v>
      </c>
      <c r="I42" s="4">
        <f t="shared" si="0"/>
        <v>392000</v>
      </c>
    </row>
    <row r="43" spans="1:9" x14ac:dyDescent="0.3">
      <c r="A43" s="2">
        <v>45332</v>
      </c>
      <c r="B43" s="3" t="s">
        <v>14</v>
      </c>
      <c r="C43" s="3" t="s">
        <v>15</v>
      </c>
      <c r="D43" s="3" t="s">
        <v>16</v>
      </c>
      <c r="E43" s="3">
        <v>120</v>
      </c>
      <c r="F43" s="3">
        <v>2400</v>
      </c>
      <c r="G43" s="3">
        <v>10</v>
      </c>
      <c r="H43" s="3">
        <v>21</v>
      </c>
      <c r="I43" s="4">
        <f t="shared" si="0"/>
        <v>288000</v>
      </c>
    </row>
    <row r="44" spans="1:9" x14ac:dyDescent="0.3">
      <c r="A44" s="2">
        <v>45333</v>
      </c>
      <c r="B44" s="3" t="s">
        <v>17</v>
      </c>
      <c r="C44" s="3" t="s">
        <v>18</v>
      </c>
      <c r="D44" s="3" t="s">
        <v>21</v>
      </c>
      <c r="E44" s="3">
        <v>170</v>
      </c>
      <c r="F44" s="3">
        <v>3400</v>
      </c>
      <c r="G44" s="3">
        <v>9</v>
      </c>
      <c r="H44" s="3">
        <v>19</v>
      </c>
      <c r="I44" s="4">
        <f t="shared" si="0"/>
        <v>578000</v>
      </c>
    </row>
    <row r="45" spans="1:9" x14ac:dyDescent="0.3">
      <c r="A45" s="2">
        <v>45334</v>
      </c>
      <c r="B45" s="3" t="s">
        <v>19</v>
      </c>
      <c r="C45" s="3" t="s">
        <v>20</v>
      </c>
      <c r="D45" s="3" t="s">
        <v>13</v>
      </c>
      <c r="E45" s="3">
        <v>200</v>
      </c>
      <c r="F45" s="3">
        <v>4000</v>
      </c>
      <c r="G45" s="3">
        <v>14</v>
      </c>
      <c r="H45" s="3">
        <v>26</v>
      </c>
      <c r="I45" s="4">
        <f t="shared" si="0"/>
        <v>800000</v>
      </c>
    </row>
    <row r="46" spans="1:9" x14ac:dyDescent="0.3">
      <c r="A46" s="2">
        <v>45335</v>
      </c>
      <c r="B46" s="3" t="s">
        <v>11</v>
      </c>
      <c r="C46" s="3" t="s">
        <v>12</v>
      </c>
      <c r="D46" s="3" t="s">
        <v>16</v>
      </c>
      <c r="E46" s="3">
        <v>150</v>
      </c>
      <c r="F46" s="3">
        <v>3000</v>
      </c>
      <c r="G46" s="3">
        <v>11</v>
      </c>
      <c r="H46" s="3">
        <v>22</v>
      </c>
      <c r="I46" s="4">
        <f t="shared" si="0"/>
        <v>450000</v>
      </c>
    </row>
    <row r="47" spans="1:9" x14ac:dyDescent="0.3">
      <c r="A47" s="2">
        <v>45336</v>
      </c>
      <c r="B47" s="3" t="s">
        <v>14</v>
      </c>
      <c r="C47" s="3" t="s">
        <v>15</v>
      </c>
      <c r="D47" s="3" t="s">
        <v>21</v>
      </c>
      <c r="E47" s="3">
        <v>180</v>
      </c>
      <c r="F47" s="3">
        <v>3600</v>
      </c>
      <c r="G47" s="3">
        <v>16</v>
      </c>
      <c r="H47" s="3">
        <v>28</v>
      </c>
      <c r="I47" s="4">
        <f t="shared" si="0"/>
        <v>648000</v>
      </c>
    </row>
    <row r="48" spans="1:9" x14ac:dyDescent="0.3">
      <c r="A48" s="2">
        <v>45337</v>
      </c>
      <c r="B48" s="3" t="s">
        <v>17</v>
      </c>
      <c r="C48" s="3" t="s">
        <v>18</v>
      </c>
      <c r="D48" s="3" t="s">
        <v>13</v>
      </c>
      <c r="E48" s="3">
        <v>130</v>
      </c>
      <c r="F48" s="3">
        <v>2600</v>
      </c>
      <c r="G48" s="3">
        <v>6</v>
      </c>
      <c r="H48" s="3">
        <v>20</v>
      </c>
      <c r="I48" s="4">
        <f t="shared" si="0"/>
        <v>338000</v>
      </c>
    </row>
    <row r="49" spans="1:9" x14ac:dyDescent="0.3">
      <c r="A49" s="2">
        <v>45338</v>
      </c>
      <c r="B49" s="3" t="s">
        <v>19</v>
      </c>
      <c r="C49" s="3" t="s">
        <v>20</v>
      </c>
      <c r="D49" s="3" t="s">
        <v>16</v>
      </c>
      <c r="E49" s="3">
        <v>190</v>
      </c>
      <c r="F49" s="3">
        <v>3800</v>
      </c>
      <c r="G49" s="3">
        <v>12</v>
      </c>
      <c r="H49" s="3">
        <v>27</v>
      </c>
      <c r="I49" s="4">
        <f t="shared" si="0"/>
        <v>722000</v>
      </c>
    </row>
    <row r="50" spans="1:9" x14ac:dyDescent="0.3">
      <c r="A50" s="2">
        <v>45339</v>
      </c>
      <c r="B50" s="3" t="s">
        <v>11</v>
      </c>
      <c r="C50" s="3" t="s">
        <v>12</v>
      </c>
      <c r="D50" s="3" t="s">
        <v>21</v>
      </c>
      <c r="E50" s="3">
        <v>210</v>
      </c>
      <c r="F50" s="3">
        <v>4200</v>
      </c>
      <c r="G50" s="3">
        <v>17</v>
      </c>
      <c r="H50" s="3">
        <v>25</v>
      </c>
      <c r="I50" s="4">
        <f t="shared" si="0"/>
        <v>882000</v>
      </c>
    </row>
    <row r="51" spans="1:9" x14ac:dyDescent="0.3">
      <c r="A51" s="2">
        <v>45340</v>
      </c>
      <c r="B51" s="3" t="s">
        <v>14</v>
      </c>
      <c r="C51" s="3" t="s">
        <v>15</v>
      </c>
      <c r="D51" s="3" t="s">
        <v>13</v>
      </c>
      <c r="E51" s="3">
        <v>160</v>
      </c>
      <c r="F51" s="3">
        <v>3200</v>
      </c>
      <c r="G51" s="3">
        <v>8</v>
      </c>
      <c r="H51" s="3">
        <v>22</v>
      </c>
      <c r="I51" s="4">
        <f t="shared" si="0"/>
        <v>512000</v>
      </c>
    </row>
    <row r="52" spans="1:9" x14ac:dyDescent="0.3">
      <c r="A52" s="2">
        <v>45341</v>
      </c>
      <c r="B52" s="3" t="s">
        <v>17</v>
      </c>
      <c r="C52" s="3" t="s">
        <v>18</v>
      </c>
      <c r="D52" s="3" t="s">
        <v>16</v>
      </c>
      <c r="E52" s="3">
        <v>180</v>
      </c>
      <c r="F52" s="3">
        <v>3600</v>
      </c>
      <c r="G52" s="3">
        <v>9</v>
      </c>
      <c r="H52" s="3">
        <v>23</v>
      </c>
      <c r="I52" s="4">
        <f t="shared" si="0"/>
        <v>648000</v>
      </c>
    </row>
    <row r="53" spans="1:9" x14ac:dyDescent="0.3">
      <c r="A53" s="2">
        <v>45342</v>
      </c>
      <c r="B53" s="3" t="s">
        <v>19</v>
      </c>
      <c r="C53" s="3" t="s">
        <v>20</v>
      </c>
      <c r="D53" s="3" t="s">
        <v>21</v>
      </c>
      <c r="E53" s="3">
        <v>170</v>
      </c>
      <c r="F53" s="3">
        <v>3400</v>
      </c>
      <c r="G53" s="3">
        <v>14</v>
      </c>
      <c r="H53" s="3">
        <v>26</v>
      </c>
      <c r="I53" s="4">
        <f t="shared" si="0"/>
        <v>578000</v>
      </c>
    </row>
    <row r="54" spans="1:9" x14ac:dyDescent="0.3">
      <c r="A54" s="2">
        <v>45343</v>
      </c>
      <c r="B54" s="3" t="s">
        <v>11</v>
      </c>
      <c r="C54" s="3" t="s">
        <v>12</v>
      </c>
      <c r="D54" s="3" t="s">
        <v>13</v>
      </c>
      <c r="E54" s="3">
        <v>150</v>
      </c>
      <c r="F54" s="3">
        <v>3000</v>
      </c>
      <c r="G54" s="3">
        <v>13</v>
      </c>
      <c r="H54" s="3">
        <v>24</v>
      </c>
      <c r="I54" s="4">
        <f t="shared" si="0"/>
        <v>450000</v>
      </c>
    </row>
    <row r="55" spans="1:9" x14ac:dyDescent="0.3">
      <c r="A55" s="2">
        <v>45344</v>
      </c>
      <c r="B55" s="3" t="s">
        <v>14</v>
      </c>
      <c r="C55" s="3" t="s">
        <v>15</v>
      </c>
      <c r="D55" s="3" t="s">
        <v>16</v>
      </c>
      <c r="E55" s="3">
        <v>140</v>
      </c>
      <c r="F55" s="3">
        <v>2800</v>
      </c>
      <c r="G55" s="3">
        <v>12</v>
      </c>
      <c r="H55" s="3">
        <v>23</v>
      </c>
      <c r="I55" s="4">
        <f t="shared" si="0"/>
        <v>392000</v>
      </c>
    </row>
    <row r="56" spans="1:9" x14ac:dyDescent="0.3">
      <c r="A56" s="2">
        <v>45345</v>
      </c>
      <c r="B56" s="3" t="s">
        <v>17</v>
      </c>
      <c r="C56" s="3" t="s">
        <v>18</v>
      </c>
      <c r="D56" s="3" t="s">
        <v>21</v>
      </c>
      <c r="E56" s="3">
        <v>200</v>
      </c>
      <c r="F56" s="3">
        <v>4000</v>
      </c>
      <c r="G56" s="3">
        <v>10</v>
      </c>
      <c r="H56" s="3">
        <v>27</v>
      </c>
      <c r="I56" s="4">
        <f t="shared" si="0"/>
        <v>800000</v>
      </c>
    </row>
    <row r="57" spans="1:9" x14ac:dyDescent="0.3">
      <c r="A57" s="2">
        <v>45346</v>
      </c>
      <c r="B57" s="3" t="s">
        <v>19</v>
      </c>
      <c r="C57" s="3" t="s">
        <v>20</v>
      </c>
      <c r="D57" s="3" t="s">
        <v>13</v>
      </c>
      <c r="E57" s="3">
        <v>170</v>
      </c>
      <c r="F57" s="3">
        <v>3400</v>
      </c>
      <c r="G57" s="3">
        <v>15</v>
      </c>
      <c r="H57" s="3">
        <v>28</v>
      </c>
      <c r="I57" s="4">
        <f t="shared" si="0"/>
        <v>578000</v>
      </c>
    </row>
    <row r="58" spans="1:9" x14ac:dyDescent="0.3">
      <c r="A58" s="2">
        <v>45347</v>
      </c>
      <c r="B58" s="3" t="s">
        <v>11</v>
      </c>
      <c r="C58" s="3" t="s">
        <v>12</v>
      </c>
      <c r="D58" s="3" t="s">
        <v>16</v>
      </c>
      <c r="E58" s="3">
        <v>120</v>
      </c>
      <c r="F58" s="3">
        <v>2400</v>
      </c>
      <c r="G58" s="3">
        <v>14</v>
      </c>
      <c r="H58" s="3">
        <v>22</v>
      </c>
      <c r="I58" s="4">
        <f t="shared" si="0"/>
        <v>288000</v>
      </c>
    </row>
    <row r="59" spans="1:9" x14ac:dyDescent="0.3">
      <c r="A59" s="2">
        <v>45348</v>
      </c>
      <c r="B59" s="3" t="s">
        <v>14</v>
      </c>
      <c r="C59" s="3" t="s">
        <v>15</v>
      </c>
      <c r="D59" s="3" t="s">
        <v>21</v>
      </c>
      <c r="E59" s="3">
        <v>190</v>
      </c>
      <c r="F59" s="3">
        <v>3800</v>
      </c>
      <c r="G59" s="3">
        <v>11</v>
      </c>
      <c r="H59" s="3">
        <v>20</v>
      </c>
      <c r="I59" s="4">
        <f t="shared" si="0"/>
        <v>722000</v>
      </c>
    </row>
    <row r="60" spans="1:9" x14ac:dyDescent="0.3">
      <c r="A60" s="2">
        <v>45349</v>
      </c>
      <c r="B60" s="3" t="s">
        <v>17</v>
      </c>
      <c r="C60" s="3" t="s">
        <v>18</v>
      </c>
      <c r="D60" s="3" t="s">
        <v>13</v>
      </c>
      <c r="E60" s="3">
        <v>140</v>
      </c>
      <c r="F60" s="3">
        <v>2800</v>
      </c>
      <c r="G60" s="3">
        <v>7</v>
      </c>
      <c r="H60" s="3">
        <v>21</v>
      </c>
      <c r="I60" s="4">
        <f t="shared" si="0"/>
        <v>392000</v>
      </c>
    </row>
    <row r="61" spans="1:9" x14ac:dyDescent="0.3">
      <c r="A61" s="2">
        <v>45350</v>
      </c>
      <c r="B61" s="3" t="s">
        <v>19</v>
      </c>
      <c r="C61" s="3" t="s">
        <v>20</v>
      </c>
      <c r="D61" s="3" t="s">
        <v>16</v>
      </c>
      <c r="E61" s="3">
        <v>200</v>
      </c>
      <c r="F61" s="3">
        <v>4000</v>
      </c>
      <c r="G61" s="3">
        <v>16</v>
      </c>
      <c r="H61" s="3">
        <v>29</v>
      </c>
      <c r="I61" s="4">
        <f t="shared" si="0"/>
        <v>800000</v>
      </c>
    </row>
    <row r="62" spans="1:9" x14ac:dyDescent="0.3">
      <c r="A62" s="2">
        <v>45351</v>
      </c>
      <c r="B62" s="3" t="s">
        <v>11</v>
      </c>
      <c r="C62" s="3" t="s">
        <v>12</v>
      </c>
      <c r="D62" s="3" t="s">
        <v>21</v>
      </c>
      <c r="E62" s="3">
        <v>160</v>
      </c>
      <c r="F62" s="3">
        <v>3200</v>
      </c>
      <c r="G62" s="3">
        <v>13</v>
      </c>
      <c r="H62" s="3">
        <v>23</v>
      </c>
      <c r="I62" s="4">
        <f t="shared" si="0"/>
        <v>512000</v>
      </c>
    </row>
    <row r="63" spans="1:9" x14ac:dyDescent="0.3">
      <c r="A63" s="2">
        <v>45352</v>
      </c>
      <c r="B63" s="3" t="s">
        <v>14</v>
      </c>
      <c r="C63" s="3" t="s">
        <v>15</v>
      </c>
      <c r="D63" s="3" t="s">
        <v>13</v>
      </c>
      <c r="E63" s="3">
        <v>180</v>
      </c>
      <c r="F63" s="3">
        <v>3600</v>
      </c>
      <c r="G63" s="3">
        <v>10</v>
      </c>
      <c r="H63" s="3">
        <v>24</v>
      </c>
      <c r="I63" s="4">
        <f t="shared" si="0"/>
        <v>648000</v>
      </c>
    </row>
    <row r="64" spans="1:9" x14ac:dyDescent="0.3">
      <c r="A64" s="2">
        <v>45353</v>
      </c>
      <c r="B64" s="3" t="s">
        <v>17</v>
      </c>
      <c r="C64" s="3" t="s">
        <v>18</v>
      </c>
      <c r="D64" s="3" t="s">
        <v>16</v>
      </c>
      <c r="E64" s="3">
        <v>220</v>
      </c>
      <c r="F64" s="3">
        <v>4400</v>
      </c>
      <c r="G64" s="3">
        <v>9</v>
      </c>
      <c r="H64" s="3">
        <v>25</v>
      </c>
      <c r="I64" s="4">
        <f t="shared" si="0"/>
        <v>968000</v>
      </c>
    </row>
    <row r="65" spans="1:9" x14ac:dyDescent="0.3">
      <c r="A65" s="2">
        <v>45354</v>
      </c>
      <c r="B65" s="3" t="s">
        <v>19</v>
      </c>
      <c r="C65" s="3" t="s">
        <v>20</v>
      </c>
      <c r="D65" s="3" t="s">
        <v>21</v>
      </c>
      <c r="E65" s="3">
        <v>230</v>
      </c>
      <c r="F65" s="3">
        <v>4600</v>
      </c>
      <c r="G65" s="3">
        <v>17</v>
      </c>
      <c r="H65" s="3">
        <v>30</v>
      </c>
      <c r="I65" s="4">
        <f t="shared" si="0"/>
        <v>1058000</v>
      </c>
    </row>
    <row r="66" spans="1:9" x14ac:dyDescent="0.3">
      <c r="A66" s="2">
        <v>45355</v>
      </c>
      <c r="B66" s="3" t="s">
        <v>11</v>
      </c>
      <c r="C66" s="3" t="s">
        <v>12</v>
      </c>
      <c r="D66" s="3" t="s">
        <v>13</v>
      </c>
      <c r="E66" s="3">
        <v>110</v>
      </c>
      <c r="F66" s="3">
        <v>2200</v>
      </c>
      <c r="G66" s="3">
        <v>11</v>
      </c>
      <c r="H66" s="3">
        <v>21</v>
      </c>
      <c r="I66" s="4">
        <f t="shared" si="0"/>
        <v>242000</v>
      </c>
    </row>
    <row r="67" spans="1:9" x14ac:dyDescent="0.3">
      <c r="A67" s="2">
        <v>45356</v>
      </c>
      <c r="B67" s="3" t="s">
        <v>14</v>
      </c>
      <c r="C67" s="3" t="s">
        <v>15</v>
      </c>
      <c r="D67" s="3" t="s">
        <v>16</v>
      </c>
      <c r="E67" s="3">
        <v>130</v>
      </c>
      <c r="F67" s="3">
        <v>2600</v>
      </c>
      <c r="G67" s="3">
        <v>8</v>
      </c>
      <c r="H67" s="3">
        <v>22</v>
      </c>
      <c r="I67" s="4">
        <f t="shared" si="0"/>
        <v>338000</v>
      </c>
    </row>
    <row r="68" spans="1:9" x14ac:dyDescent="0.3">
      <c r="A68" s="2">
        <v>45357</v>
      </c>
      <c r="B68" s="3" t="s">
        <v>17</v>
      </c>
      <c r="C68" s="3" t="s">
        <v>18</v>
      </c>
      <c r="D68" s="3" t="s">
        <v>21</v>
      </c>
      <c r="E68" s="3">
        <v>150</v>
      </c>
      <c r="F68" s="3">
        <v>3000</v>
      </c>
      <c r="G68" s="3">
        <v>12</v>
      </c>
      <c r="H68" s="3">
        <v>26</v>
      </c>
      <c r="I68" s="4">
        <f t="shared" si="0"/>
        <v>450000</v>
      </c>
    </row>
    <row r="69" spans="1:9" x14ac:dyDescent="0.3">
      <c r="A69" s="2">
        <v>45358</v>
      </c>
      <c r="B69" s="3" t="s">
        <v>19</v>
      </c>
      <c r="C69" s="3" t="s">
        <v>20</v>
      </c>
      <c r="D69" s="3" t="s">
        <v>13</v>
      </c>
      <c r="E69" s="3">
        <v>140</v>
      </c>
      <c r="F69" s="3">
        <v>2800</v>
      </c>
      <c r="G69" s="3">
        <v>13</v>
      </c>
      <c r="H69" s="3">
        <v>23</v>
      </c>
      <c r="I69" s="4">
        <f t="shared" ref="I69:I93" si="1">E69*F69</f>
        <v>392000</v>
      </c>
    </row>
    <row r="70" spans="1:9" x14ac:dyDescent="0.3">
      <c r="A70" s="2">
        <v>45359</v>
      </c>
      <c r="B70" s="3" t="s">
        <v>11</v>
      </c>
      <c r="C70" s="3" t="s">
        <v>12</v>
      </c>
      <c r="D70" s="3" t="s">
        <v>16</v>
      </c>
      <c r="E70" s="3">
        <v>170</v>
      </c>
      <c r="F70" s="3">
        <v>3400</v>
      </c>
      <c r="G70" s="3">
        <v>14</v>
      </c>
      <c r="H70" s="3">
        <v>24</v>
      </c>
      <c r="I70" s="4">
        <f t="shared" si="1"/>
        <v>578000</v>
      </c>
    </row>
    <row r="71" spans="1:9" x14ac:dyDescent="0.3">
      <c r="A71" s="2">
        <v>45360</v>
      </c>
      <c r="B71" s="3" t="s">
        <v>14</v>
      </c>
      <c r="C71" s="3" t="s">
        <v>15</v>
      </c>
      <c r="D71" s="3" t="s">
        <v>21</v>
      </c>
      <c r="E71" s="3">
        <v>160</v>
      </c>
      <c r="F71" s="3">
        <v>3200</v>
      </c>
      <c r="G71" s="3">
        <v>16</v>
      </c>
      <c r="H71" s="3">
        <v>27</v>
      </c>
      <c r="I71" s="4">
        <f t="shared" si="1"/>
        <v>512000</v>
      </c>
    </row>
    <row r="72" spans="1:9" x14ac:dyDescent="0.3">
      <c r="A72" s="2">
        <v>45361</v>
      </c>
      <c r="B72" s="3" t="s">
        <v>17</v>
      </c>
      <c r="C72" s="3" t="s">
        <v>18</v>
      </c>
      <c r="D72" s="3" t="s">
        <v>13</v>
      </c>
      <c r="E72" s="3">
        <v>180</v>
      </c>
      <c r="F72" s="3">
        <v>3600</v>
      </c>
      <c r="G72" s="3">
        <v>10</v>
      </c>
      <c r="H72" s="3">
        <v>22</v>
      </c>
      <c r="I72" s="4">
        <f t="shared" si="1"/>
        <v>648000</v>
      </c>
    </row>
    <row r="73" spans="1:9" x14ac:dyDescent="0.3">
      <c r="A73" s="2">
        <v>45362</v>
      </c>
      <c r="B73" s="3" t="s">
        <v>19</v>
      </c>
      <c r="C73" s="3" t="s">
        <v>20</v>
      </c>
      <c r="D73" s="3" t="s">
        <v>16</v>
      </c>
      <c r="E73" s="3">
        <v>150</v>
      </c>
      <c r="F73" s="3">
        <v>3000</v>
      </c>
      <c r="G73" s="3">
        <v>15</v>
      </c>
      <c r="H73" s="3">
        <v>29</v>
      </c>
      <c r="I73" s="4">
        <f t="shared" si="1"/>
        <v>450000</v>
      </c>
    </row>
    <row r="74" spans="1:9" x14ac:dyDescent="0.3">
      <c r="A74" s="2">
        <v>45363</v>
      </c>
      <c r="B74" s="3" t="s">
        <v>11</v>
      </c>
      <c r="C74" s="3" t="s">
        <v>12</v>
      </c>
      <c r="D74" s="3" t="s">
        <v>21</v>
      </c>
      <c r="E74" s="3">
        <v>200</v>
      </c>
      <c r="F74" s="3">
        <v>4000</v>
      </c>
      <c r="G74" s="3">
        <v>12</v>
      </c>
      <c r="H74" s="3">
        <v>25</v>
      </c>
      <c r="I74" s="4">
        <f t="shared" si="1"/>
        <v>800000</v>
      </c>
    </row>
    <row r="75" spans="1:9" x14ac:dyDescent="0.3">
      <c r="A75" s="2">
        <v>45364</v>
      </c>
      <c r="B75" s="3" t="s">
        <v>14</v>
      </c>
      <c r="C75" s="3" t="s">
        <v>15</v>
      </c>
      <c r="D75" s="3" t="s">
        <v>13</v>
      </c>
      <c r="E75" s="3">
        <v>140</v>
      </c>
      <c r="F75" s="3">
        <v>2800</v>
      </c>
      <c r="G75" s="3">
        <v>11</v>
      </c>
      <c r="H75" s="3">
        <v>20</v>
      </c>
      <c r="I75" s="4">
        <f t="shared" si="1"/>
        <v>392000</v>
      </c>
    </row>
    <row r="76" spans="1:9" x14ac:dyDescent="0.3">
      <c r="A76" s="2">
        <v>45365</v>
      </c>
      <c r="B76" s="3" t="s">
        <v>17</v>
      </c>
      <c r="C76" s="3" t="s">
        <v>18</v>
      </c>
      <c r="D76" s="3" t="s">
        <v>16</v>
      </c>
      <c r="E76" s="3">
        <v>160</v>
      </c>
      <c r="F76" s="3">
        <v>3200</v>
      </c>
      <c r="G76" s="3">
        <v>9</v>
      </c>
      <c r="H76" s="3">
        <v>22</v>
      </c>
      <c r="I76" s="4">
        <f t="shared" si="1"/>
        <v>512000</v>
      </c>
    </row>
    <row r="77" spans="1:9" x14ac:dyDescent="0.3">
      <c r="A77" s="2">
        <v>45366</v>
      </c>
      <c r="B77" s="3" t="s">
        <v>19</v>
      </c>
      <c r="C77" s="3" t="s">
        <v>20</v>
      </c>
      <c r="D77" s="3" t="s">
        <v>21</v>
      </c>
      <c r="E77" s="3">
        <v>190</v>
      </c>
      <c r="F77" s="3">
        <v>3800</v>
      </c>
      <c r="G77" s="3">
        <v>13</v>
      </c>
      <c r="H77" s="3">
        <v>26</v>
      </c>
      <c r="I77" s="4">
        <f t="shared" si="1"/>
        <v>722000</v>
      </c>
    </row>
    <row r="78" spans="1:9" x14ac:dyDescent="0.3">
      <c r="A78" s="2">
        <v>45367</v>
      </c>
      <c r="B78" s="3" t="s">
        <v>11</v>
      </c>
      <c r="C78" s="3" t="s">
        <v>12</v>
      </c>
      <c r="D78" s="3" t="s">
        <v>16</v>
      </c>
      <c r="E78" s="3">
        <v>200</v>
      </c>
      <c r="F78" s="3">
        <v>4000</v>
      </c>
      <c r="G78" s="3">
        <v>16</v>
      </c>
      <c r="H78" s="3">
        <v>28</v>
      </c>
      <c r="I78" s="4">
        <f t="shared" si="1"/>
        <v>800000</v>
      </c>
    </row>
    <row r="79" spans="1:9" x14ac:dyDescent="0.3">
      <c r="A79" s="2">
        <v>45368</v>
      </c>
      <c r="B79" s="3" t="s">
        <v>14</v>
      </c>
      <c r="C79" s="3" t="s">
        <v>15</v>
      </c>
      <c r="D79" s="3" t="s">
        <v>21</v>
      </c>
      <c r="E79" s="3">
        <v>180</v>
      </c>
      <c r="F79" s="3">
        <v>3600</v>
      </c>
      <c r="G79" s="3">
        <v>15</v>
      </c>
      <c r="H79" s="3">
        <v>30</v>
      </c>
      <c r="I79" s="4">
        <f t="shared" si="1"/>
        <v>648000</v>
      </c>
    </row>
    <row r="80" spans="1:9" x14ac:dyDescent="0.3">
      <c r="A80" s="2">
        <v>45369</v>
      </c>
      <c r="B80" s="3" t="s">
        <v>17</v>
      </c>
      <c r="C80" s="3" t="s">
        <v>18</v>
      </c>
      <c r="D80" s="3" t="s">
        <v>13</v>
      </c>
      <c r="E80" s="3">
        <v>140</v>
      </c>
      <c r="F80" s="3">
        <v>2800</v>
      </c>
      <c r="G80" s="3">
        <v>6</v>
      </c>
      <c r="H80" s="3">
        <v>21</v>
      </c>
      <c r="I80" s="4">
        <f t="shared" si="1"/>
        <v>392000</v>
      </c>
    </row>
    <row r="81" spans="1:9" x14ac:dyDescent="0.3">
      <c r="A81" s="2">
        <v>45370</v>
      </c>
      <c r="B81" s="3" t="s">
        <v>19</v>
      </c>
      <c r="C81" s="3" t="s">
        <v>20</v>
      </c>
      <c r="D81" s="3" t="s">
        <v>16</v>
      </c>
      <c r="E81" s="3">
        <v>220</v>
      </c>
      <c r="F81" s="3">
        <v>4400</v>
      </c>
      <c r="G81" s="3">
        <v>18</v>
      </c>
      <c r="H81" s="3">
        <v>27</v>
      </c>
      <c r="I81" s="4">
        <f t="shared" si="1"/>
        <v>968000</v>
      </c>
    </row>
    <row r="82" spans="1:9" x14ac:dyDescent="0.3">
      <c r="A82" s="2">
        <v>45371</v>
      </c>
      <c r="B82" s="3" t="s">
        <v>11</v>
      </c>
      <c r="C82" s="3" t="s">
        <v>12</v>
      </c>
      <c r="D82" s="3" t="s">
        <v>21</v>
      </c>
      <c r="E82" s="3">
        <v>150</v>
      </c>
      <c r="F82" s="3">
        <v>3000</v>
      </c>
      <c r="G82" s="3">
        <v>14</v>
      </c>
      <c r="H82" s="3">
        <v>22</v>
      </c>
      <c r="I82" s="4">
        <f t="shared" si="1"/>
        <v>450000</v>
      </c>
    </row>
    <row r="83" spans="1:9" x14ac:dyDescent="0.3">
      <c r="A83" s="2">
        <v>45372</v>
      </c>
      <c r="B83" s="3" t="s">
        <v>14</v>
      </c>
      <c r="C83" s="3" t="s">
        <v>15</v>
      </c>
      <c r="D83" s="3" t="s">
        <v>13</v>
      </c>
      <c r="E83" s="3">
        <v>160</v>
      </c>
      <c r="F83" s="3">
        <v>3200</v>
      </c>
      <c r="G83" s="3">
        <v>13</v>
      </c>
      <c r="H83" s="3">
        <v>24</v>
      </c>
      <c r="I83" s="4">
        <f t="shared" si="1"/>
        <v>512000</v>
      </c>
    </row>
    <row r="84" spans="1:9" x14ac:dyDescent="0.3">
      <c r="A84" s="2">
        <v>45373</v>
      </c>
      <c r="B84" s="3" t="s">
        <v>17</v>
      </c>
      <c r="C84" s="3" t="s">
        <v>18</v>
      </c>
      <c r="D84" s="3" t="s">
        <v>16</v>
      </c>
      <c r="E84" s="3">
        <v>190</v>
      </c>
      <c r="F84" s="3">
        <v>3800</v>
      </c>
      <c r="G84" s="3">
        <v>12</v>
      </c>
      <c r="H84" s="3">
        <v>23</v>
      </c>
      <c r="I84" s="4">
        <f t="shared" si="1"/>
        <v>722000</v>
      </c>
    </row>
    <row r="85" spans="1:9" x14ac:dyDescent="0.3">
      <c r="A85" s="2">
        <v>45374</v>
      </c>
      <c r="B85" s="3" t="s">
        <v>19</v>
      </c>
      <c r="C85" s="3" t="s">
        <v>20</v>
      </c>
      <c r="D85" s="3" t="s">
        <v>21</v>
      </c>
      <c r="E85" s="3">
        <v>210</v>
      </c>
      <c r="F85" s="3">
        <v>4200</v>
      </c>
      <c r="G85" s="3">
        <v>16</v>
      </c>
      <c r="H85" s="3">
        <v>28</v>
      </c>
      <c r="I85" s="4">
        <f t="shared" si="1"/>
        <v>882000</v>
      </c>
    </row>
    <row r="86" spans="1:9" x14ac:dyDescent="0.3">
      <c r="A86" s="2">
        <v>45375</v>
      </c>
      <c r="B86" s="3" t="s">
        <v>11</v>
      </c>
      <c r="C86" s="3" t="s">
        <v>12</v>
      </c>
      <c r="D86" s="3" t="s">
        <v>13</v>
      </c>
      <c r="E86" s="3">
        <v>170</v>
      </c>
      <c r="F86" s="3">
        <v>3400</v>
      </c>
      <c r="G86" s="3">
        <v>15</v>
      </c>
      <c r="H86" s="3">
        <v>25</v>
      </c>
      <c r="I86" s="4">
        <f t="shared" si="1"/>
        <v>578000</v>
      </c>
    </row>
    <row r="87" spans="1:9" x14ac:dyDescent="0.3">
      <c r="A87" s="2">
        <v>45376</v>
      </c>
      <c r="B87" s="3" t="s">
        <v>14</v>
      </c>
      <c r="C87" s="3" t="s">
        <v>15</v>
      </c>
      <c r="D87" s="3" t="s">
        <v>16</v>
      </c>
      <c r="E87" s="3">
        <v>140</v>
      </c>
      <c r="F87" s="3">
        <v>2800</v>
      </c>
      <c r="G87" s="3">
        <v>10</v>
      </c>
      <c r="H87" s="3">
        <v>22</v>
      </c>
      <c r="I87" s="4">
        <f t="shared" si="1"/>
        <v>392000</v>
      </c>
    </row>
    <row r="88" spans="1:9" x14ac:dyDescent="0.3">
      <c r="A88" s="2">
        <v>45377</v>
      </c>
      <c r="B88" s="3" t="s">
        <v>17</v>
      </c>
      <c r="C88" s="3" t="s">
        <v>18</v>
      </c>
      <c r="D88" s="3" t="s">
        <v>21</v>
      </c>
      <c r="E88" s="3">
        <v>220</v>
      </c>
      <c r="F88" s="3">
        <v>4400</v>
      </c>
      <c r="G88" s="3">
        <v>14</v>
      </c>
      <c r="H88" s="3">
        <v>30</v>
      </c>
      <c r="I88" s="4">
        <f t="shared" si="1"/>
        <v>968000</v>
      </c>
    </row>
    <row r="89" spans="1:9" x14ac:dyDescent="0.3">
      <c r="A89" s="2">
        <v>45378</v>
      </c>
      <c r="B89" s="3" t="s">
        <v>19</v>
      </c>
      <c r="C89" s="3" t="s">
        <v>20</v>
      </c>
      <c r="D89" s="3" t="s">
        <v>13</v>
      </c>
      <c r="E89" s="3">
        <v>130</v>
      </c>
      <c r="F89" s="3">
        <v>2600</v>
      </c>
      <c r="G89" s="3">
        <v>12</v>
      </c>
      <c r="H89" s="3">
        <v>23</v>
      </c>
      <c r="I89" s="4">
        <f t="shared" si="1"/>
        <v>338000</v>
      </c>
    </row>
    <row r="90" spans="1:9" x14ac:dyDescent="0.3">
      <c r="A90" s="2">
        <v>45379</v>
      </c>
      <c r="B90" s="3" t="s">
        <v>11</v>
      </c>
      <c r="C90" s="3" t="s">
        <v>12</v>
      </c>
      <c r="D90" s="3" t="s">
        <v>16</v>
      </c>
      <c r="E90" s="3">
        <v>150</v>
      </c>
      <c r="F90" s="3">
        <v>3000</v>
      </c>
      <c r="G90" s="3">
        <v>13</v>
      </c>
      <c r="H90" s="3">
        <v>24</v>
      </c>
      <c r="I90" s="4">
        <f t="shared" si="1"/>
        <v>450000</v>
      </c>
    </row>
    <row r="91" spans="1:9" x14ac:dyDescent="0.3">
      <c r="A91" s="2">
        <v>45380</v>
      </c>
      <c r="B91" s="3" t="s">
        <v>14</v>
      </c>
      <c r="C91" s="3" t="s">
        <v>15</v>
      </c>
      <c r="D91" s="3" t="s">
        <v>21</v>
      </c>
      <c r="E91" s="3">
        <v>200</v>
      </c>
      <c r="F91" s="3">
        <v>4000</v>
      </c>
      <c r="G91" s="3">
        <v>11</v>
      </c>
      <c r="H91" s="3">
        <v>21</v>
      </c>
      <c r="I91" s="4">
        <f t="shared" si="1"/>
        <v>800000</v>
      </c>
    </row>
    <row r="92" spans="1:9" x14ac:dyDescent="0.3">
      <c r="A92" s="2">
        <v>45381</v>
      </c>
      <c r="B92" s="3" t="s">
        <v>17</v>
      </c>
      <c r="C92" s="3" t="s">
        <v>18</v>
      </c>
      <c r="D92" s="3" t="s">
        <v>13</v>
      </c>
      <c r="E92" s="3">
        <v>160</v>
      </c>
      <c r="F92" s="3">
        <v>3200</v>
      </c>
      <c r="G92" s="3">
        <v>8</v>
      </c>
      <c r="H92" s="3">
        <v>22</v>
      </c>
      <c r="I92" s="4">
        <f t="shared" si="1"/>
        <v>512000</v>
      </c>
    </row>
    <row r="93" spans="1:9" x14ac:dyDescent="0.3">
      <c r="A93" s="2">
        <v>45382</v>
      </c>
      <c r="B93" s="3" t="s">
        <v>19</v>
      </c>
      <c r="C93" s="3" t="s">
        <v>20</v>
      </c>
      <c r="D93" s="3" t="s">
        <v>16</v>
      </c>
      <c r="E93" s="3">
        <v>180</v>
      </c>
      <c r="F93" s="3">
        <v>3600</v>
      </c>
      <c r="G93" s="3">
        <v>17</v>
      </c>
      <c r="H93" s="3">
        <v>28</v>
      </c>
      <c r="I93" s="4">
        <f t="shared" si="1"/>
        <v>648000</v>
      </c>
    </row>
  </sheetData>
  <mergeCells count="2">
    <mergeCell ref="A1:G1"/>
    <mergeCell ref="H1:J1"/>
  </mergeCells>
  <pageMargins left="0.25" right="0.25" top="0.75" bottom="0.75" header="0.3" footer="0.3"/>
  <pageSetup paperSize="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C45BF-7DC9-49C0-9252-B46638F8EE10}">
  <dimension ref="A1"/>
  <sheetViews>
    <sheetView topLeftCell="A1048576" workbookViewId="0">
      <selection activeCell="A1048576" sqref="A1:XFD1048576"/>
    </sheetView>
  </sheetViews>
  <sheetFormatPr defaultRowHeight="14.4" zeroHeight="1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TABLES</vt:lpstr>
      <vt:lpstr>SHEET 1</vt:lpstr>
      <vt:lpstr>Class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</dc:creator>
  <cp:lastModifiedBy>vandana chityala</cp:lastModifiedBy>
  <cp:lastPrinted>2024-11-04T08:13:22Z</cp:lastPrinted>
  <dcterms:created xsi:type="dcterms:W3CDTF">2015-06-05T18:17:20Z</dcterms:created>
  <dcterms:modified xsi:type="dcterms:W3CDTF">2026-03-20T13:58:35Z</dcterms:modified>
</cp:coreProperties>
</file>